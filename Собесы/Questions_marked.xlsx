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xml" ContentType="application/xml"/>
  <Default Extension="rels" ContentType="application/vnd.openxmlformats-package.relationships+xml"/>
</Types>
</file>

<file path=_rels/.rels><?xml version='1.0' encoding='UTF-8' standalone='yes' ?><Relationships xmlns="http://schemas.openxmlformats.org/package/2006/relationships"><Relationship Id="rId1" Type="http://schemas.openxmlformats.org/officeDocument/2006/relationships/officeDocument" Target="xl/workbook.xml" TargetMode="Internal" /><Relationship Id="rId2" Type="http://schemas.openxmlformats.org/package/2006/relationships/metadata/core-properties" Target="docProps/core.xml" TargetMode="Internal" /><Relationship Id="rId3" Type="http://schemas.openxmlformats.org/officeDocument/2006/relationships/extended-properties" Target="docProps/app.xml" TargetMode="Interna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Java" sheetId="1" state="visible" r:id="rId2"/>
    <sheet name="JS" sheetId="2" r:id="rId3"/>
    <sheet name=".NET" sheetId="3" r:id="rId4"/>
    <sheet name="PHP" sheetId="4" r:id="rId5"/>
    <sheet name="Python" sheetId="5" r:id="rId6"/>
    <sheet name="Salesforce" sheetId="6" r:id="rId7"/>
    <sheet name="DevOps" sheetId="7" r:id="rId8"/>
  </sheets>
  <calcPr/>
</workbook>
</file>

<file path=xl/sharedStrings.xml><?xml version="1.0" encoding="utf-8"?>
<sst xmlns="http://schemas.openxmlformats.org/spreadsheetml/2006/main" uniqueCount="990">
  <si>
    <t>#</t>
  </si>
  <si>
    <t>Вопросы</t>
  </si>
  <si>
    <t>Баллы</t>
  </si>
  <si>
    <t>Длительность
(мин)</t>
  </si>
  <si>
    <t>Архитектура современных приложений</t>
  </si>
  <si>
    <t>A1</t>
  </si>
  <si>
    <t>Консольные приложения</t>
  </si>
  <si>
    <t>A2</t>
  </si>
  <si>
    <t>Архитектура клиент-сервер</t>
  </si>
  <si>
    <t>Взаимодействие серверов с клиентами</t>
  </si>
  <si>
    <t>2х, 3х и многоуровневая архитектура клиент-сервер</t>
  </si>
  <si>
    <t>Тонкий и толстый клиент</t>
  </si>
  <si>
    <t>A3</t>
  </si>
  <si>
    <t>Web Services</t>
  </si>
  <si>
    <t>SOAP</t>
  </si>
  <si>
    <t>RESTful</t>
  </si>
  <si>
    <t>Сравнение, преимущества/недостатки</t>
  </si>
  <si>
    <t>ООП</t>
  </si>
  <si>
    <t>O1</t>
  </si>
  <si>
    <t>Основные понятия</t>
  </si>
  <si>
    <t>Инкапсуляция</t>
  </si>
  <si>
    <t>Наследование</t>
  </si>
  <si>
    <t>Полиморфизм</t>
  </si>
  <si>
    <t>Типы взаимоотношений классов (ассоциация, агрегация и композиция, обобщение/расширение (наследование))</t>
  </si>
  <si>
    <t>Интерфейс, абстрактный класс</t>
  </si>
  <si>
    <t>O2</t>
  </si>
  <si>
    <t>Основные паттерны ООП</t>
  </si>
  <si>
    <t>Программирование (Java)</t>
  </si>
  <si>
    <t>J1</t>
  </si>
  <si>
    <t>Объявление</t>
  </si>
  <si>
    <t>J2</t>
  </si>
  <si>
    <t>Коллекции (а так же хэшированные наборы данных)</t>
  </si>
  <si>
    <t>J3</t>
  </si>
  <si>
    <t>Знание синтаксиса и конструкций языка</t>
  </si>
  <si>
    <t>Операторы</t>
  </si>
  <si>
    <t>Логические выражения</t>
  </si>
  <si>
    <t>J4</t>
  </si>
  <si>
    <t>Обработка исключений (ошибок)</t>
  </si>
  <si>
    <t>J5</t>
  </si>
  <si>
    <t>Общие понятия о многопоточном исполнении кода</t>
  </si>
  <si>
    <t>J6</t>
  </si>
  <si>
    <t xml:space="preserve">Основы технологии взаимодействия приложения с БД (JDBC) </t>
  </si>
  <si>
    <t>Выполнение различных видов SQL-запросов через JDBC</t>
  </si>
  <si>
    <t>Управление транзакциями</t>
  </si>
  <si>
    <t>J7</t>
  </si>
  <si>
    <t>J8</t>
  </si>
  <si>
    <t>Generics</t>
  </si>
  <si>
    <t>J9</t>
  </si>
  <si>
    <t>J10</t>
  </si>
  <si>
    <t>J11</t>
  </si>
  <si>
    <t>Потоки данных</t>
  </si>
  <si>
    <t>Типы и назначение</t>
  </si>
  <si>
    <t>J12</t>
  </si>
  <si>
    <t>Сервлеты/JSP</t>
  </si>
  <si>
    <t>J13</t>
  </si>
  <si>
    <t>J14</t>
  </si>
  <si>
    <t>J15</t>
  </si>
  <si>
    <t>J16</t>
  </si>
  <si>
    <t>J17</t>
  </si>
  <si>
    <t>J18</t>
  </si>
  <si>
    <t>J19</t>
  </si>
  <si>
    <t>Базы данных</t>
  </si>
  <si>
    <t>B1</t>
  </si>
  <si>
    <t>Типы данных</t>
  </si>
  <si>
    <t>Нормализация и денормализация</t>
  </si>
  <si>
    <t>Ключи</t>
  </si>
  <si>
    <t>Блокировки</t>
  </si>
  <si>
    <t>Транзакции</t>
  </si>
  <si>
    <t>B2</t>
  </si>
  <si>
    <t>Объекты БД</t>
  </si>
  <si>
    <t>Создание и изменение.</t>
  </si>
  <si>
    <t>Хранимые процедуры и триггеры</t>
  </si>
  <si>
    <t>Права доступа</t>
  </si>
  <si>
    <t>B3</t>
  </si>
  <si>
    <t>Оптимизация производительности</t>
  </si>
  <si>
    <t>Что такое индексы и их структура</t>
  </si>
  <si>
    <t>Как выделить необходимые индексы и создать их</t>
  </si>
  <si>
    <t>Навыки чтения плана запроса</t>
  </si>
  <si>
    <t>B4</t>
  </si>
  <si>
    <t>Простые SQL-запросы</t>
  </si>
  <si>
    <t>Выборка данных</t>
  </si>
  <si>
    <t>Изменение данных</t>
  </si>
  <si>
    <t>B5</t>
  </si>
  <si>
    <t>Продвинутый SQL</t>
  </si>
  <si>
    <t>sub - queries</t>
  </si>
  <si>
    <t>агрегатные ф-ции</t>
  </si>
  <si>
    <t>union</t>
  </si>
  <si>
    <t>аналитические ф-ции</t>
  </si>
  <si>
    <t>рекурсия</t>
  </si>
  <si>
    <t>WEB</t>
  </si>
  <si>
    <t>W1</t>
  </si>
  <si>
    <t>Протокол HTTP</t>
  </si>
  <si>
    <t>W2</t>
  </si>
  <si>
    <t>Основы HTML</t>
  </si>
  <si>
    <t>Структура HTML документа</t>
  </si>
  <si>
    <t>Тэги. Типы тэгов (парные и одиночные тэги различных групп), правила применения</t>
  </si>
  <si>
    <t>Атрибуты тэгов</t>
  </si>
  <si>
    <t>Отображение текста</t>
  </si>
  <si>
    <t>Тэг &lt;form&gt;.Тэг &lt;input&gt;</t>
  </si>
  <si>
    <t>W3</t>
  </si>
  <si>
    <t>Продвинутый HTML</t>
  </si>
  <si>
    <t>Понятие и способы вёрстки.</t>
  </si>
  <si>
    <t>Кросс-браузерная верстка</t>
  </si>
  <si>
    <t>W4</t>
  </si>
  <si>
    <t>Основы CSS</t>
  </si>
  <si>
    <t>Что такое стили.</t>
  </si>
  <si>
    <t>Наиболее существенные плюсы использования стилей</t>
  </si>
  <si>
    <t>Способы описания/добавления стилей на страницу.</t>
  </si>
  <si>
    <t>Группирование, наследование, каскадирование</t>
  </si>
  <si>
    <t>Базовый синтаксис CSS</t>
  </si>
  <si>
    <t>W5</t>
  </si>
  <si>
    <t>Продвинутый CSS</t>
  </si>
  <si>
    <t>Задание значений свойств стилей (цвет, размер, строка и т.д.)</t>
  </si>
  <si>
    <t>Селекторы тэгов, классов, идентификаторов, атрибутов, контекстные, соседние, дочерние и т.д.</t>
  </si>
  <si>
    <t>Методологии CSS</t>
  </si>
  <si>
    <t>W6</t>
  </si>
  <si>
    <t>Основы JavaScript</t>
  </si>
  <si>
    <t>Типы данных.</t>
  </si>
  <si>
    <t>Операторы языка.</t>
  </si>
  <si>
    <t>Объявление и использование переменных/функций. Область видимости.</t>
  </si>
  <si>
    <t>DOM/BOM. Типы узлов в DOM.</t>
  </si>
  <si>
    <t>Навигация по DOM (JavaScript или jQuery).</t>
  </si>
  <si>
    <t>Назаначение обработчиков событий (JavaScript или jQuery).</t>
  </si>
  <si>
    <t>W7</t>
  </si>
  <si>
    <t>Продвинутый JavaScript</t>
  </si>
  <si>
    <t>Сложные структуры (объекты и конструкторы, массив, строки, числа, дата).</t>
  </si>
  <si>
    <t>Замыкания. Лексическое окружение.</t>
  </si>
  <si>
    <t>Манипуляции с DOM.</t>
  </si>
  <si>
    <t>Контекст выполнения (this). Переопределение контекста.</t>
  </si>
  <si>
    <t>Всплытие, погружение событий.</t>
  </si>
  <si>
    <t>Объект event и его свойства. Отмена действий по умолчанию.</t>
  </si>
  <si>
    <t>W8</t>
  </si>
  <si>
    <t>JavaScript framework</t>
  </si>
  <si>
    <t>Начальные навыки работы с каким-либо JS framework . Рекомендуется Angular , AngularJS , React .</t>
  </si>
  <si>
    <t>Другие знания</t>
  </si>
  <si>
    <t>T1</t>
  </si>
  <si>
    <t>Командная оболочка CMD (Windows)</t>
  </si>
  <si>
    <t>Основные команды CMD</t>
  </si>
  <si>
    <t>Запуск команд/выполняемых/пакетных файлов</t>
  </si>
  <si>
    <t>Команды работы с файлами и директориями</t>
  </si>
  <si>
    <t>Команды для использования в пакетных файлах, передача параметров в пакетный файл</t>
  </si>
  <si>
    <t>Работа с процессами</t>
  </si>
  <si>
    <t>T2</t>
  </si>
  <si>
    <t>Командная оболочка Bash (Linux)</t>
  </si>
  <si>
    <t>Основные команды Bash</t>
  </si>
  <si>
    <t>T3</t>
  </si>
  <si>
    <t>Язык XML</t>
  </si>
  <si>
    <t>Синтаксис и структура</t>
  </si>
  <si>
    <t>Схемы</t>
  </si>
  <si>
    <t>Namespaces</t>
  </si>
  <si>
    <t>XSLT</t>
  </si>
  <si>
    <t>T4</t>
  </si>
  <si>
    <t>Регулярные выражения</t>
  </si>
  <si>
    <t>T5</t>
  </si>
  <si>
    <t>Тесты</t>
  </si>
  <si>
    <t>unit-тесты</t>
  </si>
  <si>
    <t>функциональные тесты</t>
  </si>
  <si>
    <t>интеграционные тесты</t>
  </si>
  <si>
    <t>смоук и нагрузочные тесты</t>
  </si>
  <si>
    <t>T6</t>
  </si>
  <si>
    <t>Безопасность и методы защиты приложений</t>
  </si>
  <si>
    <t>Injections - внедрение специального кода в приложение при недостаточной/отсутствующей проверке данных от пользователя.</t>
  </si>
  <si>
    <t>Broken Authentication and Session Management - неправильная реализация механизмов аутентификации и сессий, позволяющая злоумыщленникам скомпрометивать пароли, ключи, токены сессий или другие уязвимости реализации для установления контроля над аккаунтами других пользователей.</t>
  </si>
  <si>
    <t>XSS(Cross Site Scripting) - передача вредоносного кода пользователю без достаточной валидации/эскейпинга со стороны приложения. Позволяет злоумышленникам запускать вредоносный код на стороне пользователя (кража сессий, кража введенных пользовательских данных, изменение данных доступных пользователю, перенаправление на вредоносные сайты).</t>
  </si>
  <si>
    <t>Insecure Direct Object References - раскрытие системных идентификаторов в комбинации с отсутствием проверок прав доступа позволяет злоумыщленнику получать доступ к данным других пользователей(всем данным приложения).</t>
  </si>
  <si>
    <t>Security Misconfiguration - неправильная настройка конфигурации безопасности компонентов инфраструктуры. Использование настроек по умолчанию. Использование устаревших компонентов.</t>
  </si>
  <si>
    <t>Missing Fгnction Level Access Control - отсутствие проверки прав доступа на уровне функций, позволяющая злоумышленникам подделывать запросы и получать доступ к приложению без соответствующей авторизации.</t>
  </si>
  <si>
    <t>CSRF/XSRF - при отсутствии дополнительных проверок на сервере, позволяет злоумышленнику выполнять различные действия на сервере от имени жертвы.</t>
  </si>
  <si>
    <t>Using Components with Known Vulnerabilities - использование устаревших компонентов, игнорирование обновлений безопасности.</t>
  </si>
  <si>
    <t>Unvalidated Redirects and Forwards - отсутствие проверок при редиректах на другие сайты или между компонентами одного сайта.</t>
  </si>
  <si>
    <t>Итого</t>
  </si>
  <si>
    <t xml:space="preserve"> № старого
вопроса</t>
  </si>
  <si>
    <t>НЕТ</t>
  </si>
  <si>
    <t xml:space="preserve">Основные понятия и типы данных </t>
  </si>
  <si>
    <t>Области видимости (модификаторы доступа)</t>
  </si>
  <si>
    <t>Boxing и Unboxing</t>
  </si>
  <si>
    <t>Примитивные и Ссылочный типы</t>
  </si>
  <si>
    <t>Модель памяти. Сборка мусора GC</t>
  </si>
  <si>
    <t>Управляющие конструкции</t>
  </si>
  <si>
    <t>Интерфейсы, Классы, Абстрактные классы</t>
  </si>
  <si>
    <t>Внутренние и вложенные классы</t>
  </si>
  <si>
    <t>Ключевые слова static и final</t>
  </si>
  <si>
    <t>Enums</t>
  </si>
  <si>
    <t>Работы с пакетами</t>
  </si>
  <si>
    <t>Иерархия коллекций</t>
  </si>
  <si>
    <t>Iterable, Collection</t>
  </si>
  <si>
    <t>List и его реализации</t>
  </si>
  <si>
    <t>Set и его реализации</t>
  </si>
  <si>
    <t>SortedSet, NavigableSet и его реализации</t>
  </si>
  <si>
    <t>Map и ее реализации</t>
  </si>
  <si>
    <t>SortedMap, NavigableMap и ее реализации</t>
  </si>
  <si>
    <t>try … catch … finally. Try-with-resources.</t>
  </si>
  <si>
    <t>Иерархия исключений</t>
  </si>
  <si>
    <t>Checked и Unchecked исключения</t>
  </si>
  <si>
    <t>Гонка ресурсов. Голодание. Deadlock(Взаимная блокировка)</t>
  </si>
  <si>
    <t>Семафоры, мьютексы, мониторы.</t>
  </si>
  <si>
    <t>Создание потоков (Thread, Runnable)</t>
  </si>
  <si>
    <t>Синхронизация между потоками (synchronized, wait, notify, notifyAll; Thread.sleep)</t>
  </si>
  <si>
    <t>Коллекции для работы в многопоточном окружении.</t>
  </si>
  <si>
    <t>Driver, DriverManager, Connection</t>
  </si>
  <si>
    <t>Statement, PreparedStatement, CallableStatement</t>
  </si>
  <si>
    <t>ResultSet, RowMapper</t>
  </si>
  <si>
    <t>Lambda</t>
  </si>
  <si>
    <t>Определение и синтаксис</t>
  </si>
  <si>
    <t>Функциональный интерфейс</t>
  </si>
  <si>
    <t>Встроенные в язык функциональные интерфейсы</t>
  </si>
  <si>
    <t>Default и Static методы в интерфейсах</t>
  </si>
  <si>
    <t>Определение, синтаксис, как используется?</t>
  </si>
  <si>
    <t>Статические методы</t>
  </si>
  <si>
    <t>Наследование и default методы</t>
  </si>
  <si>
    <t>Назначение и синтаксис</t>
  </si>
  <si>
    <t>Использование в классах(включая наследование), методах, полях, переменных.</t>
  </si>
  <si>
    <t>Wildcards - ?, ? super T, ? extends T</t>
  </si>
  <si>
    <t>PECS (Producer - extends, Consumer - super)</t>
  </si>
  <si>
    <t>Time API (Java 8)</t>
  </si>
  <si>
    <t>LocalDate, LocalDateTime, ZoneDateTime</t>
  </si>
  <si>
    <t>Instant, Temporal, LocalTime.</t>
  </si>
  <si>
    <t>Duration, Unit, Period, ChronoUnit</t>
  </si>
  <si>
    <t>Аннотации и их виды</t>
  </si>
  <si>
    <t>@Retention</t>
  </si>
  <si>
    <t>@Target</t>
  </si>
  <si>
    <t>@Documented</t>
  </si>
  <si>
    <t>Создание собственных аннотаций</t>
  </si>
  <si>
    <t>Stream API</t>
  </si>
  <si>
    <t>Способы создания</t>
  </si>
  <si>
    <t>Конвейерные и терминальные операции</t>
  </si>
  <si>
    <t>Stream и Collections</t>
  </si>
  <si>
    <t>Collectors</t>
  </si>
  <si>
    <t>Тип Optional</t>
  </si>
  <si>
    <t>IntStream, DoubleStream и тд.</t>
  </si>
  <si>
    <t>Parallel Stream</t>
  </si>
  <si>
    <t>Правильное открытие и закрытие потоков</t>
  </si>
  <si>
    <t>Сериализация объектов в поток. Десериализация.</t>
  </si>
  <si>
    <t>Общие понятия о java.nio. Сравнение с java.io</t>
  </si>
  <si>
    <t>Пакет java.nio.</t>
  </si>
  <si>
    <t>Класс Path. Утилитарные классы Files и Paths.</t>
  </si>
  <si>
    <t>Channels, Buffers.</t>
  </si>
  <si>
    <t>Selectors</t>
  </si>
  <si>
    <t>Обход файловой системы (FileVisitor)</t>
  </si>
  <si>
    <t>Слежение за изменениями в файловой системе (WatchService)</t>
  </si>
  <si>
    <t>Жизненный цикл</t>
  </si>
  <si>
    <t>Методы service, get, post</t>
  </si>
  <si>
    <t>HttpServletRequest, HttpServletResponse</t>
  </si>
  <si>
    <t>ServletContext</t>
  </si>
  <si>
    <t>Виды Scope</t>
  </si>
  <si>
    <t>Работа с Cookie</t>
  </si>
  <si>
    <t>HttpSession</t>
  </si>
  <si>
    <t>Filter, Filter Chain</t>
  </si>
  <si>
    <t>Listener</t>
  </si>
  <si>
    <t>JSP</t>
  </si>
  <si>
    <t>EL, JSTL</t>
  </si>
  <si>
    <t>Контейнер сервлетов (Один из Tomcat, Jetty, Undertow)</t>
  </si>
  <si>
    <t>Thymeleaf либо другой шаблонизатор (опционально)</t>
  </si>
  <si>
    <t>Сборка проектов (один из)</t>
  </si>
  <si>
    <t>Maven</t>
  </si>
  <si>
    <t>Gradle</t>
  </si>
  <si>
    <t>Ant</t>
  </si>
  <si>
    <t>Spring Core</t>
  </si>
  <si>
    <t>Bean и его атрибуты</t>
  </si>
  <si>
    <t>Схема создания бинов BeanPostProcessor, BeanFactory, BeanFactoryPostProcessor</t>
  </si>
  <si>
    <t>Bean Scopes</t>
  </si>
  <si>
    <t>IoC, DI, @Autowired</t>
  </si>
  <si>
    <t>@Component, @Service, И другие</t>
  </si>
  <si>
    <t>ApplicationContext</t>
  </si>
  <si>
    <t>Конфигурация</t>
  </si>
  <si>
    <t>Spring и DB</t>
  </si>
  <si>
    <t>Spring JDBC</t>
  </si>
  <si>
    <t>Spring Transaction</t>
  </si>
  <si>
    <t>Spring Web</t>
  </si>
  <si>
    <t>Spring MVC</t>
  </si>
  <si>
    <t>Spring WebFlux (Опционально)</t>
  </si>
  <si>
    <t>J20</t>
  </si>
  <si>
    <t>Spring Security</t>
  </si>
  <si>
    <t>Apache Shiro</t>
  </si>
  <si>
    <t>J21</t>
  </si>
  <si>
    <t>Spring Boot</t>
  </si>
  <si>
    <t>Bill Of Material (BOM)</t>
  </si>
  <si>
    <t>Spring Boot cli, Запуск Spring Boot приложения, SpringApplication</t>
  </si>
  <si>
    <t>Конфигурация приложения</t>
  </si>
  <si>
    <t>Spring Boot Starters, AutoConfiguration</t>
  </si>
  <si>
    <t>Embedded Servlet Container</t>
  </si>
  <si>
    <t>J22</t>
  </si>
  <si>
    <t>1-To-1</t>
  </si>
  <si>
    <t>Many-To-1</t>
  </si>
  <si>
    <t>1-To-Many</t>
  </si>
  <si>
    <t>Many-To-Many</t>
  </si>
  <si>
    <t>Fetch strategy</t>
  </si>
  <si>
    <t>Cascade, OrphanRemoval</t>
  </si>
  <si>
    <t>J23</t>
  </si>
  <si>
    <t>J24</t>
  </si>
  <si>
    <t>CDI</t>
  </si>
  <si>
    <t>Enterprise JavaBeans</t>
  </si>
  <si>
    <t>JNDI</t>
  </si>
  <si>
    <t>JTA</t>
  </si>
  <si>
    <t>Validation</t>
  </si>
  <si>
    <t>JavaMail</t>
  </si>
  <si>
    <t>JAX-RS</t>
  </si>
  <si>
    <t>JAX-WS (Опционально)</t>
  </si>
  <si>
    <t>WebSocket (Опционально)</t>
  </si>
  <si>
    <t>J25</t>
  </si>
  <si>
    <t>J26</t>
  </si>
  <si>
    <t>Java EE (Один из серверов приложений)</t>
  </si>
  <si>
    <t>Jboss / WidlFly</t>
  </si>
  <si>
    <t>GlassFish</t>
  </si>
  <si>
    <t>J27</t>
  </si>
  <si>
    <t>SparkJava</t>
  </si>
  <si>
    <t>создание веб ресурсов</t>
  </si>
  <si>
    <t>роутинг</t>
  </si>
  <si>
    <t>J28</t>
  </si>
  <si>
    <t>Тестирование</t>
  </si>
  <si>
    <t>Unit</t>
  </si>
  <si>
    <t>BDD (опционально)</t>
  </si>
  <si>
    <t>Automation Tests (опционально)</t>
  </si>
  <si>
    <t>Интеграционные</t>
  </si>
  <si>
    <t>J29</t>
  </si>
  <si>
    <t>Поддержка версионирования БД (один из)</t>
  </si>
  <si>
    <t>Liquibase</t>
  </si>
  <si>
    <t>Flyway</t>
  </si>
  <si>
    <t>J30</t>
  </si>
  <si>
    <t>Общие сведения</t>
  </si>
  <si>
    <t>Project Reactor</t>
  </si>
  <si>
    <t>RxJava</t>
  </si>
  <si>
    <t>Vert.x</t>
  </si>
  <si>
    <t>J31</t>
  </si>
  <si>
    <t>Message Queue (опционально, один из)</t>
  </si>
  <si>
    <t>Общая информация</t>
  </si>
  <si>
    <t>RabbitMQ</t>
  </si>
  <si>
    <t>Apache Kafka</t>
  </si>
  <si>
    <t>Apache ActiveMQ</t>
  </si>
  <si>
    <t>J32</t>
  </si>
  <si>
    <t>Назначение</t>
  </si>
  <si>
    <t>Используемые аннотации @Data, @NoArgConstructor, @NonNull, @Builder</t>
  </si>
  <si>
    <t>J33</t>
  </si>
  <si>
    <t>Логирование</t>
  </si>
  <si>
    <t>Конфигурация и использование</t>
  </si>
  <si>
    <t>Java Concurrency</t>
  </si>
  <si>
    <t>ExecutorService, Executors.</t>
  </si>
  <si>
    <t>Future, CompletionStage -&gt; CompletableFuture</t>
  </si>
  <si>
    <t>FutureTask, RunnableFuture, ForkJoinTask</t>
  </si>
  <si>
    <t>Atomics. “Compare and Swap”</t>
  </si>
  <si>
    <t>CyclicBarrier, CountDownLatch (опционально)</t>
  </si>
  <si>
    <t>Реализация (SLF4J/Log4J 2/Logback)</t>
  </si>
  <si>
    <t>Java EE specifications</t>
  </si>
  <si>
    <t>Java EE fundamental</t>
  </si>
  <si>
    <t>Сложность</t>
  </si>
  <si>
    <t>Знакомство с реактивным программированием (один из)</t>
  </si>
  <si>
    <t>Project Lombok</t>
  </si>
  <si>
    <t>Hibernate работы кешей</t>
  </si>
  <si>
    <t>J34</t>
  </si>
  <si>
    <t>T7</t>
  </si>
  <si>
    <t>VCS</t>
  </si>
  <si>
    <t>GIT</t>
  </si>
  <si>
    <t>SVN</t>
  </si>
  <si>
    <t>Программирование (JS)</t>
  </si>
  <si>
    <t>JS1</t>
  </si>
  <si>
    <t>Базовые сведения</t>
  </si>
  <si>
    <t>Операторы языка</t>
  </si>
  <si>
    <t>Циклы, управляющие конструкции</t>
  </si>
  <si>
    <t>JS2</t>
  </si>
  <si>
    <t>Переменные и Функции. Область видимости.</t>
  </si>
  <si>
    <t>Объявление и использование переменных</t>
  </si>
  <si>
    <t>Объявление и использование функций</t>
  </si>
  <si>
    <t>Область видимости. Что такое «поднятие» (hoisting)</t>
  </si>
  <si>
    <t>JS3</t>
  </si>
  <si>
    <t>DOM/BOM.</t>
  </si>
  <si>
    <t>Что такое DOM? Из чего состоит DOM, Узлы и их виды.</t>
  </si>
  <si>
    <t>Что такое BOM? Что в себя включает BOM?</t>
  </si>
  <si>
    <t>JS4</t>
  </si>
  <si>
    <t>Обработка событий.</t>
  </si>
  <si>
    <t>Назначение обработчиков событий. В чем разница каждого способа.</t>
  </si>
  <si>
    <t>Объект event и его свойства.</t>
  </si>
  <si>
    <t>JS5</t>
  </si>
  <si>
    <t xml:space="preserve">Сложные структуры </t>
  </si>
  <si>
    <t>String</t>
  </si>
  <si>
    <t>Numbers</t>
  </si>
  <si>
    <t>Date</t>
  </si>
  <si>
    <t>Symbol</t>
  </si>
  <si>
    <t>JS6</t>
  </si>
  <si>
    <t>Коллекции</t>
  </si>
  <si>
    <t>Array</t>
  </si>
  <si>
    <t>Object</t>
  </si>
  <si>
    <t>Set</t>
  </si>
  <si>
    <t>Map</t>
  </si>
  <si>
    <t>Деструктурирование</t>
  </si>
  <si>
    <t>Оператор rest/spread</t>
  </si>
  <si>
    <t>JS7</t>
  </si>
  <si>
    <t>Замыкания. Лексическое окружение</t>
  </si>
  <si>
    <t>Что такое «Лексическое окружение». Когда оно создается?</t>
  </si>
  <si>
    <t>Что такое «Замыкание»?</t>
  </si>
  <si>
    <t>JS8</t>
  </si>
  <si>
    <t>Контекст выполнения (this). Переопределение контекста</t>
  </si>
  <si>
    <t>Контекст выполнения. Значения контекста выполнения</t>
  </si>
  <si>
    <t>Переопределение контекста</t>
  </si>
  <si>
    <t>JS9</t>
  </si>
  <si>
    <t>Модули</t>
  </si>
  <si>
    <t>Шаблон «Модуль»</t>
  </si>
  <si>
    <t>CommonJS. Навыки работы с CommonJS</t>
  </si>
  <si>
    <t>Модули ES6</t>
  </si>
  <si>
    <t>AMD, UMD (опционально)</t>
  </si>
  <si>
    <t>JS10</t>
  </si>
  <si>
    <t>JS11</t>
  </si>
  <si>
    <t>Одностраничные приложения</t>
  </si>
  <si>
    <t>Что собой представляют одностраничные приложения?</t>
  </si>
  <si>
    <t>Какие инструменты (библиотеки. протоколы и архитектурные решения) используют для построения SPA.</t>
  </si>
  <si>
    <t>Сравнение с многостраничными приложениями. Какие преимущества и недостатки существуют</t>
  </si>
  <si>
    <t>JS12</t>
  </si>
  <si>
    <t>Технологии передачи данных</t>
  </si>
  <si>
    <t>JS13</t>
  </si>
  <si>
    <t>AJAX/WebSocket</t>
  </si>
  <si>
    <t>JSON и его использование</t>
  </si>
  <si>
    <t>Кроссдоменные запросы</t>
  </si>
  <si>
    <t>Классы, Наследование и Конструкторы</t>
  </si>
  <si>
    <t>JS15</t>
  </si>
  <si>
    <t>Функции-конструкторы</t>
  </si>
  <si>
    <t>Прототипирование и цепочка прототипов (prototypal inheritance)</t>
  </si>
  <si>
    <t>Классы</t>
  </si>
  <si>
    <t>Статические свойства</t>
  </si>
  <si>
    <t>Наследование с помощью классов</t>
  </si>
  <si>
    <t>JS14</t>
  </si>
  <si>
    <t>Параллельная модель и цикл событий (Event Loop)</t>
  </si>
  <si>
    <t>JS17</t>
  </si>
  <si>
    <t>Event Loop</t>
  </si>
  <si>
    <t>Callbacks</t>
  </si>
  <si>
    <t>Promises</t>
  </si>
  <si>
    <t>Iterator</t>
  </si>
  <si>
    <t>Generators</t>
  </si>
  <si>
    <t>Async / await (опционально)</t>
  </si>
  <si>
    <t>Coroutines (опционально)</t>
  </si>
  <si>
    <t>JS18</t>
  </si>
  <si>
    <t>Back-end Web Framework</t>
  </si>
  <si>
    <t>JS16</t>
  </si>
  <si>
    <t>JS19</t>
  </si>
  <si>
    <t>Unit (один из Jest, Mocha и Chai, Karma и Jasmine)</t>
  </si>
  <si>
    <t>TDD, BDD методологии написания тестов</t>
  </si>
  <si>
    <t xml:space="preserve">End-2-End </t>
  </si>
  <si>
    <t>JS20</t>
  </si>
  <si>
    <t>Функциональное программирование</t>
  </si>
  <si>
    <t>JS21</t>
  </si>
  <si>
    <t>Чистые функции (pure functions)</t>
  </si>
  <si>
    <t>Функции высшего порядка (higher order functions или first-class functions)</t>
  </si>
  <si>
    <t>Неизменяемые данные (immutable data)</t>
  </si>
  <si>
    <t>Каррирование и частичное применение функций</t>
  </si>
  <si>
    <t>Хранение данных на клиенте</t>
  </si>
  <si>
    <t>JS22</t>
  </si>
  <si>
    <t>Cookies</t>
  </si>
  <si>
    <t>LocalStorage</t>
  </si>
  <si>
    <t>SessionStorage</t>
  </si>
  <si>
    <t>IndexedDb (Опционально)</t>
  </si>
  <si>
    <t>Статическая типизация (один из)</t>
  </si>
  <si>
    <t>JS23</t>
  </si>
  <si>
    <t>TypeScript (Предпочтительнее)</t>
  </si>
  <si>
    <t xml:space="preserve">FlowType </t>
  </si>
  <si>
    <t>Реактивное программирование (RxJS)</t>
  </si>
  <si>
    <t>NodeJS. Работа с встроенными стандартными пакетами</t>
  </si>
  <si>
    <t>NodeJS. Таск-раннеры</t>
  </si>
  <si>
    <t>NodeJS. Бандлеры</t>
  </si>
  <si>
    <t>Продвинутые знания React</t>
  </si>
  <si>
    <t>Продвинутые знания Angular</t>
  </si>
  <si>
    <t>Продвинутые знания Vue.js</t>
  </si>
  <si>
    <t>Базовые знания React</t>
  </si>
  <si>
    <t>Базовые знания Angular</t>
  </si>
  <si>
    <t>Базовые знания Vue.js</t>
  </si>
  <si>
    <t>Пакетные менеджеры: npm, yarn</t>
  </si>
  <si>
    <t>SCSS</t>
  </si>
  <si>
    <t>LESS</t>
  </si>
  <si>
    <t>Препроцессоры CSS (один из)</t>
  </si>
  <si>
    <t>JS24</t>
  </si>
  <si>
    <t>JS25</t>
  </si>
  <si>
    <t>JS26</t>
  </si>
  <si>
    <t>JS27</t>
  </si>
  <si>
    <t>JS28</t>
  </si>
  <si>
    <t>JS29</t>
  </si>
  <si>
    <t>JS30</t>
  </si>
  <si>
    <t>Другие коллекции (Queue, Dequeue, Stack, Vector, Hashtable)</t>
  </si>
  <si>
    <t>N1</t>
  </si>
  <si>
    <t>Основные понятия и типы данных. Понимание что такое сборка и GAC</t>
  </si>
  <si>
    <t>N2</t>
  </si>
  <si>
    <t xml:space="preserve">Обработка исключений. </t>
  </si>
  <si>
    <t>N3</t>
  </si>
  <si>
    <t>N4</t>
  </si>
  <si>
    <t>N5</t>
  </si>
  <si>
    <t>N6</t>
  </si>
  <si>
    <t>N7</t>
  </si>
  <si>
    <t>Лямбды</t>
  </si>
  <si>
    <t>N8</t>
  </si>
  <si>
    <t>LINQ</t>
  </si>
  <si>
    <t>N9</t>
  </si>
  <si>
    <t>Валидация модели или проверка вводимых данных на корректность</t>
  </si>
  <si>
    <t>N10</t>
  </si>
  <si>
    <t>WPF</t>
  </si>
  <si>
    <t>N11</t>
  </si>
  <si>
    <t>ADO.NET</t>
  </si>
  <si>
    <t>N12</t>
  </si>
  <si>
    <t>Entity Framework</t>
  </si>
  <si>
    <t>N13</t>
  </si>
  <si>
    <t>.Net Core</t>
  </si>
  <si>
    <t>Языки</t>
  </si>
  <si>
    <t>API - интерфейсы</t>
  </si>
  <si>
    <t>Инфраструктуры</t>
  </si>
  <si>
    <t>Композиция/компоненты</t>
  </si>
  <si>
    <t>Сравнение с другими реализациями .NET</t>
  </si>
  <si>
    <t>N14</t>
  </si>
  <si>
    <t>.NET Core APIs</t>
  </si>
  <si>
    <t>Dependency</t>
  </si>
  <si>
    <t>N15</t>
  </si>
  <si>
    <t xml:space="preserve">.NET Core Entity Framework </t>
  </si>
  <si>
    <t>N16</t>
  </si>
  <si>
    <t>ASP.NET  Identity (Аутентификация &amp; Авторизация)</t>
  </si>
  <si>
    <t>One ASP.NET Identity system</t>
  </si>
  <si>
    <t>Ease of plugging in profile data about the user</t>
  </si>
  <si>
    <t>Persistence control</t>
  </si>
  <si>
    <t>Unit testability</t>
  </si>
  <si>
    <t>Role provider</t>
  </si>
  <si>
    <t>Claims Based</t>
  </si>
  <si>
    <t>Social Login Providers</t>
  </si>
  <si>
    <t>OWIN Integration</t>
  </si>
  <si>
    <t>NuGet package</t>
  </si>
  <si>
    <t>N19</t>
  </si>
  <si>
    <t>ASP.NET Core Основы</t>
  </si>
  <si>
    <t>Преимущества, обеспечиваемые ASP.NET Core</t>
  </si>
  <si>
    <t>Создание веб-API</t>
  </si>
  <si>
    <t>Клиентская разработка</t>
  </si>
  <si>
    <t>ASP.NET Core для платформы .NET Framework</t>
  </si>
  <si>
    <t>N20</t>
  </si>
  <si>
    <t>ASP.NET Core Глобализация и локализация</t>
  </si>
  <si>
    <t>N21</t>
  </si>
  <si>
    <t>ASP.NET Core Routing</t>
  </si>
  <si>
    <t>N22</t>
  </si>
  <si>
    <t>ASP.NET Core Client side apps</t>
  </si>
  <si>
    <t>SPA JavaScript Services</t>
  </si>
  <si>
    <t>LibMan Browser Link</t>
  </si>
  <si>
    <t>N23</t>
  </si>
  <si>
    <t>ASP.NET Core Razor Pages</t>
  </si>
  <si>
    <t>N24</t>
  </si>
  <si>
    <t>N25</t>
  </si>
  <si>
    <t>ASP.NET Core MVC</t>
  </si>
  <si>
    <t>N26</t>
  </si>
  <si>
    <t>N27</t>
  </si>
  <si>
    <t>ASP.NET Core MemoryCache</t>
  </si>
  <si>
    <t>N28</t>
  </si>
  <si>
    <t>ASP.NET Core Model Binding</t>
  </si>
  <si>
    <t>N29</t>
  </si>
  <si>
    <t>N30</t>
  </si>
  <si>
    <t xml:space="preserve">RabbitMQ </t>
  </si>
  <si>
    <t>Программирование (.NET)</t>
  </si>
  <si>
    <t>Многопоточность, асинхронное выполнение</t>
  </si>
  <si>
    <t>N17</t>
  </si>
  <si>
    <t>N18</t>
  </si>
  <si>
    <t>SignalR (опционально)</t>
  </si>
  <si>
    <t>Swagger / OpenAPI</t>
  </si>
  <si>
    <t>ASP.NET Core Web API (один из)</t>
  </si>
  <si>
    <t>ASP.NET Web API</t>
  </si>
  <si>
    <t>Custom Attributes</t>
  </si>
  <si>
    <t>N31</t>
  </si>
  <si>
    <t>События и делегаты</t>
  </si>
  <si>
    <t>Дополнительные возможности</t>
  </si>
  <si>
    <t>Области видимости.</t>
  </si>
  <si>
    <t>Структуры кода</t>
  </si>
  <si>
    <t>Процедуры, функции, классы (объекты)</t>
  </si>
  <si>
    <t>extension методы (методы расширения)</t>
  </si>
  <si>
    <t>Модульное тестирование (Microsoft-specified UnitTests)</t>
  </si>
  <si>
    <t>ASP.Net MVC</t>
  </si>
  <si>
    <t>SPA Angular project template with ASP.NET</t>
  </si>
  <si>
    <t>SPA React project template with ASP.NET</t>
  </si>
  <si>
    <t>SPA React with Redux project template with ASP.NET</t>
  </si>
  <si>
    <t>LibMan Grunt in ASP.NET</t>
  </si>
  <si>
    <t>LibMan Manage client-side packages with Bower</t>
  </si>
  <si>
    <t>LibMan Bundle and minify static assets</t>
  </si>
  <si>
    <t>LinqToSql</t>
  </si>
  <si>
    <t>LinqToEntities</t>
  </si>
  <si>
    <t>Базовые знания</t>
  </si>
  <si>
    <t>N1, N10</t>
  </si>
  <si>
    <t>Работа с памятью</t>
  </si>
  <si>
    <t>Модель памяти.</t>
  </si>
  <si>
    <t>Сборка мусора.</t>
  </si>
  <si>
    <t xml:space="preserve">Понимание интерфейса IDisposable. </t>
  </si>
  <si>
    <t>Finalize</t>
  </si>
  <si>
    <t>Программирование (PHP)</t>
  </si>
  <si>
    <t>P1</t>
  </si>
  <si>
    <t>boolean, integer, float, string - скалярные</t>
  </si>
  <si>
    <t>array, object, callable, iterable - смешанные</t>
  </si>
  <si>
    <t>resource, null – специальные</t>
  </si>
  <si>
    <t>P2</t>
  </si>
  <si>
    <t>P3</t>
  </si>
  <si>
    <t>Объявление и области видимости переменных</t>
  </si>
  <si>
    <t>Объявление переменных</t>
  </si>
  <si>
    <t>глобальная / локальная</t>
  </si>
  <si>
    <t>ключевое слово global</t>
  </si>
  <si>
    <t>$GLOBALS</t>
  </si>
  <si>
    <t>понятие о суперглобальных переменных</t>
  </si>
  <si>
    <t>static $var (вне класса)</t>
  </si>
  <si>
    <t>переменные из внешних источников</t>
  </si>
  <si>
    <t>константы</t>
  </si>
  <si>
    <t>P4</t>
  </si>
  <si>
    <t>P5</t>
  </si>
  <si>
    <t>Структуры управления выполнением</t>
  </si>
  <si>
    <t>условные</t>
  </si>
  <si>
    <t>циклы</t>
  </si>
  <si>
    <t>альтернативный синтаксис (для шаблонов)</t>
  </si>
  <si>
    <t>require / include</t>
  </si>
  <si>
    <t>P6</t>
  </si>
  <si>
    <t>Функции</t>
  </si>
  <si>
    <t>объявление, передача параметров</t>
  </si>
  <si>
    <t>обращение к функциям через переменные</t>
  </si>
  <si>
    <t>анонимные функции</t>
  </si>
  <si>
    <t>P7</t>
  </si>
  <si>
    <t>Неймспейсы</t>
  </si>
  <si>
    <t>P8</t>
  </si>
  <si>
    <t>Autoloading (автозагрузка классов)</t>
  </si>
  <si>
    <t>P9</t>
  </si>
  <si>
    <t>Механизм исключений (Exceptions) и обработка ошибок</t>
  </si>
  <si>
    <t>типы / уровни ошибок</t>
  </si>
  <si>
    <t>error_reporting</t>
  </si>
  <si>
    <t>P10</t>
  </si>
  <si>
    <t>Язык PHP</t>
  </si>
  <si>
    <t>Standard SPL Library</t>
  </si>
  <si>
    <t>Генераторы</t>
  </si>
  <si>
    <t>Работа с БД: PDO и другие способы доступа к БД</t>
  </si>
  <si>
    <t>Безопасность</t>
  </si>
  <si>
    <t>P11</t>
  </si>
  <si>
    <t>Установка и настройка окружения</t>
  </si>
  <si>
    <t>PHP c nginx</t>
  </si>
  <si>
    <t>PHP с apache2 (опицонально)</t>
  </si>
  <si>
    <t>Установка и настройка MySQL</t>
  </si>
  <si>
    <t>Установка расширений PHP</t>
  </si>
  <si>
    <t>P12</t>
  </si>
  <si>
    <t>Менеджеры пакетов</t>
  </si>
  <si>
    <t>Composer</t>
  </si>
  <si>
    <t>PEAR (опционально)</t>
  </si>
  <si>
    <t>P13</t>
  </si>
  <si>
    <t>Отладка</t>
  </si>
  <si>
    <t>Подключние XDebug</t>
  </si>
  <si>
    <t>Настройка отладки PHPStorm</t>
  </si>
  <si>
    <t>P14</t>
  </si>
  <si>
    <t>Основа Symfony (установка и основы работы).</t>
  </si>
  <si>
    <t>P15</t>
  </si>
  <si>
    <t>Продвинутый Symfony</t>
  </si>
  <si>
    <t>Паттерны MVC, Dependency Injection</t>
  </si>
  <si>
    <t>P16</t>
  </si>
  <si>
    <t>Основа Doctrine ORM</t>
  </si>
  <si>
    <t>Понятие ORM</t>
  </si>
  <si>
    <t>Паттерн Object Mapper</t>
  </si>
  <si>
    <t>Паттерн Active Record</t>
  </si>
  <si>
    <t>P17</t>
  </si>
  <si>
    <t>Продвинутый  Doctrine ORM</t>
  </si>
  <si>
    <t>проблема Lazy loading и N+1 запрос (Lazy loading N+1 queries)</t>
  </si>
  <si>
    <t>Avoid many objects hydration</t>
  </si>
  <si>
    <t>$em-&gt;getReference('App\User', $friendId) instead of loading object</t>
  </si>
  <si>
    <t>Update multiple database rows using Update statement</t>
  </si>
  <si>
    <t>fetch="EXTRA_LAZY" (чтобы количество считалось через count() )</t>
  </si>
  <si>
    <t>P18</t>
  </si>
  <si>
    <t>Основы ФП</t>
  </si>
  <si>
    <t>Функции высшего порядка (higher order functions)</t>
  </si>
  <si>
    <t>Понимание методов .map, .reduce</t>
  </si>
  <si>
    <t>Реактивное программирование (reactive programming)</t>
  </si>
  <si>
    <t>P19</t>
  </si>
  <si>
    <t>ElasticSearch</t>
  </si>
  <si>
    <t>P20</t>
  </si>
  <si>
    <t>Профилирование кода</t>
  </si>
  <si>
    <t>xDebug</t>
  </si>
  <si>
    <t>XHProf or BlackFire.io</t>
  </si>
  <si>
    <t>TideWays.io (опционально)</t>
  </si>
  <si>
    <t>P21</t>
  </si>
  <si>
    <t>Оптимизация и настройка MySQL/PostgreSQL</t>
  </si>
  <si>
    <t>P22</t>
  </si>
  <si>
    <t>Кэширование данных</t>
  </si>
  <si>
    <t>Программирование (Python)</t>
  </si>
  <si>
    <t>Y1</t>
  </si>
  <si>
    <t>Основные понятия и типы данных</t>
  </si>
  <si>
    <t>Особенности Python</t>
  </si>
  <si>
    <t>интерпретируемость</t>
  </si>
  <si>
    <t>модель памяти (счётчик ссылок, сборщик мусора)</t>
  </si>
  <si>
    <t>динамическая типизация</t>
  </si>
  <si>
    <t>PEP 8, PEP 20</t>
  </si>
  <si>
    <t>Y2</t>
  </si>
  <si>
    <t>Коллекции (list, dict, tuple, ...)</t>
  </si>
  <si>
    <t>область применения</t>
  </si>
  <si>
    <t>сложность операций поиска/вставки/удаления элемента</t>
  </si>
  <si>
    <t>Y3</t>
  </si>
  <si>
    <t>Модуль collections</t>
  </si>
  <si>
    <t>примеры коллекций и их свойства</t>
  </si>
  <si>
    <t>collections.abc</t>
  </si>
  <si>
    <t>Y4</t>
  </si>
  <si>
    <t>ФП</t>
  </si>
  <si>
    <t>встроенные функции map/filter/reduce</t>
  </si>
  <si>
    <t>модуль functools</t>
  </si>
  <si>
    <t>модуль itertools</t>
  </si>
  <si>
    <t>Y5</t>
  </si>
  <si>
    <t>Итераторы и итерируемые объекты</t>
  </si>
  <si>
    <t>что такое итератор</t>
  </si>
  <si>
    <t>уметь написать пример итерируемого объекта и итератора для него</t>
  </si>
  <si>
    <t>Y6</t>
  </si>
  <si>
    <t>Функции-генераторы</t>
  </si>
  <si>
    <t>что такое генератор</t>
  </si>
  <si>
    <t>отличия от обычных функций</t>
  </si>
  <si>
    <t>сходства/различия с итераторами</t>
  </si>
  <si>
    <t>уметь написать простейший генератор (что-то вроде нечётные числа от a до b)</t>
  </si>
  <si>
    <t>Y7</t>
  </si>
  <si>
    <t>Исключения</t>
  </si>
  <si>
    <t>блок try-except и оператор raise</t>
  </si>
  <si>
    <t>иерархия</t>
  </si>
  <si>
    <t>пользовательские классы исключений</t>
  </si>
  <si>
    <t>Y8</t>
  </si>
  <si>
    <t>Базовый ООП</t>
  </si>
  <si>
    <t>Синтаксис</t>
  </si>
  <si>
    <t>magic-methods</t>
  </si>
  <si>
    <t>статические и классовые методы</t>
  </si>
  <si>
    <t>Y9</t>
  </si>
  <si>
    <t>Продвинутый ООП</t>
  </si>
  <si>
    <t>дескрипторы</t>
  </si>
  <si>
    <t>метаклассы</t>
  </si>
  <si>
    <t>Slots</t>
  </si>
  <si>
    <t>Y10</t>
  </si>
  <si>
    <t>относительный/абсолютный импорт</t>
  </si>
  <si>
    <t>как объявить пакет модулей</t>
  </si>
  <si>
    <t>Y11</t>
  </si>
  <si>
    <t>Декораторы</t>
  </si>
  <si>
    <t>что такое декоратор</t>
  </si>
  <si>
    <t>уметь писать декораторы(с и без параметров)</t>
  </si>
  <si>
    <t>примеры декораторов из стандартной библиотеки (contextlib.contextmanager, functools.wraps, ...)</t>
  </si>
  <si>
    <t>Y12</t>
  </si>
  <si>
    <t>Менеджеры контекста</t>
  </si>
  <si>
    <t>как устроены</t>
  </si>
  <si>
    <t>уметь написать</t>
  </si>
  <si>
    <t>Y13</t>
  </si>
  <si>
    <t>Файловая система</t>
  </si>
  <si>
    <t>функция open и класс file</t>
  </si>
  <si>
    <t>причины и плюсы/минусы использования менеджера контекста</t>
  </si>
  <si>
    <t>Y14</t>
  </si>
  <si>
    <t>Базовая многопоточность (GIL)</t>
  </si>
  <si>
    <t>Y15</t>
  </si>
  <si>
    <t>Продвинутая многопоточность</t>
  </si>
  <si>
    <t>вытесняющая многозадачность</t>
  </si>
  <si>
    <t>разделяемые ресурсы</t>
  </si>
  <si>
    <t>механизмы синхронизации(Lock, RLock, Semaphore)</t>
  </si>
  <si>
    <t>кооперативная многозадачность</t>
  </si>
  <si>
    <t>корутины</t>
  </si>
  <si>
    <t>модуль asyncio</t>
  </si>
  <si>
    <t>Y16</t>
  </si>
  <si>
    <t>Multiprocessing</t>
  </si>
  <si>
    <t>отличия от многопоточности</t>
  </si>
  <si>
    <t>плюсы, минусы</t>
  </si>
  <si>
    <t>Y17</t>
  </si>
  <si>
    <t>Отладка (ipython, pdb)</t>
  </si>
  <si>
    <t>Y18</t>
  </si>
  <si>
    <t>Механизмы сериализации (pickle, shelve, json)</t>
  </si>
  <si>
    <t>Y19</t>
  </si>
  <si>
    <t>Веб-фреймворки</t>
  </si>
  <si>
    <t>синхронные: Django, Flask (область применения, особенности, различия)</t>
  </si>
  <si>
    <t>асинхронные: Tornado (область применения, особенности)</t>
  </si>
  <si>
    <t>Y20</t>
  </si>
  <si>
    <t>Работа с БД</t>
  </si>
  <si>
    <t>ORM (Django ORM, SQLAlchemy)</t>
  </si>
  <si>
    <t>RAW (pyodbc, sqllite3, psycopg2)</t>
  </si>
  <si>
    <t>Y21</t>
  </si>
  <si>
    <t>Unit тестирование</t>
  </si>
  <si>
    <t>Y22</t>
  </si>
  <si>
    <t>атомарные и ссылочные, изменяемые и неизменяемые</t>
  </si>
  <si>
    <t>разделяемые ссылки, оператор is, функция id</t>
  </si>
  <si>
    <t>хэшируемость (связь с неизменяемостью)</t>
  </si>
  <si>
    <t>строки и Unicode (кодировки cp1251, utf-8, utf-16)</t>
  </si>
  <si>
    <t>Y23</t>
  </si>
  <si>
    <t>Программирование (Salesforce)</t>
  </si>
  <si>
    <t>S1</t>
  </si>
  <si>
    <r>
      <rPr>
        <sz val="11"/>
        <color rgb="FF000000"/>
        <rFont val="Calibri"/>
      </rPr>
      <t xml:space="preserve">Salesforce платформа </t>
    </r>
    <r>
      <rPr>
        <b/>
        <sz val="11"/>
        <color rgb="FF969696"/>
        <rFont val="Calibri"/>
      </rPr>
      <t>[115 мин]</t>
    </r>
  </si>
  <si>
    <t>Salesforce Platform Basics</t>
  </si>
  <si>
    <t>Platform Development Basics</t>
  </si>
  <si>
    <t>S2</t>
  </si>
  <si>
    <r>
      <rPr>
        <sz val="11"/>
        <color rgb="FF000000"/>
        <rFont val="Calibri"/>
      </rPr>
      <t xml:space="preserve">Основные стандартные объекты (standard object) </t>
    </r>
    <r>
      <rPr>
        <b/>
        <sz val="11"/>
        <color rgb="FF000000"/>
        <rFont val="Calibri"/>
      </rPr>
      <t xml:space="preserve"> </t>
    </r>
    <r>
      <rPr>
        <b/>
        <sz val="11"/>
        <color rgb="FF969696"/>
        <rFont val="Calibri"/>
      </rPr>
      <t>[120 мин]</t>
    </r>
  </si>
  <si>
    <t>Leads &amp; Opportunities</t>
  </si>
  <si>
    <t>Accounts &amp; Contacts</t>
  </si>
  <si>
    <t xml:space="preserve">Campaign Basics </t>
  </si>
  <si>
    <t>Работа с объектом User</t>
  </si>
  <si>
    <t>S3</t>
  </si>
  <si>
    <r>
      <rPr>
        <sz val="11"/>
        <color rgb="FF000000"/>
        <rFont val="Calibri"/>
      </rPr>
      <t>Собственные объекты (custom object)</t>
    </r>
    <r>
      <rPr>
        <b/>
        <sz val="11"/>
        <color rgb="FF969696"/>
        <rFont val="Calibri"/>
      </rPr>
      <t xml:space="preserve"> [45 мин]</t>
    </r>
  </si>
  <si>
    <t>Создание и конфигурирование custom object.</t>
  </si>
  <si>
    <t xml:space="preserve">Различия между custom и standard объектами и их настройками. </t>
  </si>
  <si>
    <t>Data Modeling</t>
  </si>
  <si>
    <t>S4</t>
  </si>
  <si>
    <r>
      <rPr>
        <sz val="11"/>
        <color rgb="FF000000"/>
        <rFont val="Calibri"/>
      </rPr>
      <t xml:space="preserve">Поля объектов (Fields) </t>
    </r>
    <r>
      <rPr>
        <b/>
        <sz val="11"/>
        <color rgb="FF969696"/>
        <rFont val="Calibri"/>
      </rPr>
      <t>[120 мин]</t>
    </r>
  </si>
  <si>
    <t>Стандартные и собственные поля</t>
  </si>
  <si>
    <t>Типы полей и их различия</t>
  </si>
  <si>
    <t>Customize a Salesforce Object</t>
  </si>
  <si>
    <t>S5</t>
  </si>
  <si>
    <r>
      <rPr>
        <sz val="11"/>
        <color rgb="FF000000"/>
        <rFont val="Calibri"/>
      </rPr>
      <t xml:space="preserve">Работа с отчетами и панелями мониторинга (dashboard) </t>
    </r>
    <r>
      <rPr>
        <b/>
        <sz val="11"/>
        <color rgb="FF969696"/>
        <rFont val="Calibri"/>
      </rPr>
      <t>[120 мин]</t>
    </r>
  </si>
  <si>
    <t>Report type</t>
  </si>
  <si>
    <t>Reports &amp; Dashboards</t>
  </si>
  <si>
    <t>S6</t>
  </si>
  <si>
    <t>Генерация и обработка Leads &amp; Cases.</t>
  </si>
  <si>
    <t>Auto-Response Rules</t>
  </si>
  <si>
    <t>Escalation Rules</t>
  </si>
  <si>
    <t>Assignment rules</t>
  </si>
  <si>
    <t>Web-to-lead &amp; web-to-case</t>
  </si>
  <si>
    <t>Email-to-case</t>
  </si>
  <si>
    <t>S7</t>
  </si>
  <si>
    <r>
      <rPr>
        <u val="single"/>
        <sz val="11"/>
        <color rgb="FF0563C1"/>
        <rFont val="Calibri"/>
      </rPr>
      <t xml:space="preserve">Developer Console Basics </t>
    </r>
    <r>
      <rPr>
        <b/>
        <sz val="11"/>
        <color rgb="FF969696"/>
        <rFont val="Calibri"/>
      </rPr>
      <t>[85 мин]</t>
    </r>
  </si>
  <si>
    <t>S8</t>
  </si>
  <si>
    <r>
      <rPr>
        <sz val="11"/>
        <color rgb="FF000000"/>
        <rFont val="Calibri"/>
      </rPr>
      <t xml:space="preserve">Data Security </t>
    </r>
    <r>
      <rPr>
        <b/>
        <sz val="11"/>
        <color rgb="FF969696"/>
        <rFont val="Calibri"/>
      </rPr>
      <t>[110 мин]</t>
    </r>
  </si>
  <si>
    <t>Уровни конфигурирования доступа к данным</t>
  </si>
  <si>
    <t>Различия между Organization, Objects, Fields, Records. Profiles and Permission sets</t>
  </si>
  <si>
    <t>Roles</t>
  </si>
  <si>
    <t>Понимание Sharing</t>
  </si>
  <si>
    <t>Умение ориентироватся в разных типах</t>
  </si>
  <si>
    <t>Data Security</t>
  </si>
  <si>
    <t>S9</t>
  </si>
  <si>
    <t>Record types &amp; page layouts. Lightning UI.</t>
  </si>
  <si>
    <t>S10</t>
  </si>
  <si>
    <t>Formulas &amp; Validations [45 мин]</t>
  </si>
  <si>
    <t>S11</t>
  </si>
  <si>
    <r>
      <rPr>
        <sz val="11"/>
        <color rgb="FF000000"/>
        <rFont val="Calibri"/>
      </rPr>
      <t xml:space="preserve">Workflow rules, process builder flow, approval process </t>
    </r>
    <r>
      <rPr>
        <b/>
        <sz val="11"/>
        <color rgb="FF969696"/>
        <rFont val="Calibri"/>
      </rPr>
      <t>[125 мин]</t>
    </r>
  </si>
  <si>
    <t>Lightning Flow</t>
  </si>
  <si>
    <t>S12</t>
  </si>
  <si>
    <t>Data Import Wizard, Data Loader</t>
  </si>
  <si>
    <t>Data Export Wizard, Data Loader</t>
  </si>
  <si>
    <t>Data Management</t>
  </si>
  <si>
    <t>S13</t>
  </si>
  <si>
    <r>
      <rPr>
        <sz val="11"/>
        <color rgb="FF000000"/>
        <rFont val="Calibri"/>
      </rPr>
      <t xml:space="preserve">Visualforce page, компоненты </t>
    </r>
    <r>
      <rPr>
        <b/>
        <sz val="11"/>
        <color rgb="FF969696"/>
        <rFont val="Calibri"/>
      </rPr>
      <t>[145 мин]</t>
    </r>
  </si>
  <si>
    <t>Visualforce Basics</t>
  </si>
  <si>
    <t>S14</t>
  </si>
  <si>
    <r>
      <rPr>
        <sz val="11"/>
        <color rgb="FF000000"/>
        <rFont val="Calibri"/>
      </rPr>
      <t xml:space="preserve">Основные конструкции языка Apex </t>
    </r>
    <r>
      <rPr>
        <b/>
        <sz val="11"/>
        <color rgb="FF969696"/>
        <rFont val="Calibri"/>
      </rPr>
      <t>[165 мин]</t>
    </r>
  </si>
  <si>
    <t>Коллекции (List, Map, Set)</t>
  </si>
  <si>
    <t>SOQL &amp; SOSL</t>
  </si>
  <si>
    <t>Apex Basics &amp; Database</t>
  </si>
  <si>
    <t>S15</t>
  </si>
  <si>
    <r>
      <rPr>
        <sz val="11"/>
        <color rgb="FF000000"/>
        <rFont val="Calibri"/>
      </rPr>
      <t xml:space="preserve">Triggers </t>
    </r>
    <r>
      <rPr>
        <b/>
        <sz val="11"/>
        <color rgb="FF969696"/>
        <rFont val="Calibri"/>
      </rPr>
      <t>[60 мин]</t>
    </r>
  </si>
  <si>
    <t>Виды триггеров</t>
  </si>
  <si>
    <t>Лучшие практики по их использованию</t>
  </si>
  <si>
    <t>Apex Triggers</t>
  </si>
  <si>
    <t>S16</t>
  </si>
  <si>
    <r>
      <rPr>
        <u val="single"/>
        <sz val="11"/>
        <color rgb="FF0563C1"/>
        <rFont val="Calibri"/>
      </rPr>
      <t xml:space="preserve">Apex Testing </t>
    </r>
    <r>
      <rPr>
        <b/>
        <sz val="11"/>
        <color rgb="FF969696"/>
        <rFont val="Calibri"/>
      </rPr>
      <t>[45 мин]</t>
    </r>
  </si>
  <si>
    <t>S17</t>
  </si>
  <si>
    <r>
      <rPr>
        <sz val="11"/>
        <color rgb="FF000000"/>
        <rFont val="Calibri"/>
      </rPr>
      <t xml:space="preserve">APIs </t>
    </r>
    <r>
      <rPr>
        <b/>
        <sz val="11"/>
        <color rgb="FF969696"/>
        <rFont val="Calibri"/>
      </rPr>
      <t>[120 мин]</t>
    </r>
  </si>
  <si>
    <t>REST API</t>
  </si>
  <si>
    <t>SOAP API</t>
  </si>
  <si>
    <t>Bulk API</t>
  </si>
  <si>
    <t>Lightning Platform API Basics</t>
  </si>
  <si>
    <t>S18</t>
  </si>
  <si>
    <r>
      <rPr>
        <sz val="11"/>
        <color rgb="FF000000"/>
        <rFont val="Calibri"/>
      </rPr>
      <t xml:space="preserve">Asynchronous Apex </t>
    </r>
    <r>
      <rPr>
        <b/>
        <sz val="11"/>
        <color rgb="FF969696"/>
        <rFont val="Calibri"/>
      </rPr>
      <t>[90 мин]</t>
    </r>
  </si>
  <si>
    <t>Создание асинхронных процессов</t>
  </si>
  <si>
    <t>Future methods</t>
  </si>
  <si>
    <t>Batch Apex</t>
  </si>
  <si>
    <t>Apex Schedule</t>
  </si>
  <si>
    <t>Asynchronous Apex</t>
  </si>
  <si>
    <t>S19</t>
  </si>
  <si>
    <r>
      <rPr>
        <sz val="11"/>
        <color rgb="FF000000"/>
        <rFont val="Calibri"/>
      </rPr>
      <t xml:space="preserve">Apex Integration Services. Callouts. </t>
    </r>
    <r>
      <rPr>
        <b/>
        <sz val="11"/>
        <color rgb="FF969696"/>
        <rFont val="Calibri"/>
      </rPr>
      <t>[120 мин]</t>
    </r>
  </si>
  <si>
    <t>Навыки работы со сторонними веб-сервисами посредствам SOAP и REST</t>
  </si>
  <si>
    <t>Навыки создания RESTfull и SOAP сервисов</t>
  </si>
  <si>
    <t>Apex Integration Services</t>
  </si>
  <si>
    <t>S20</t>
  </si>
  <si>
    <r>
      <rPr>
        <u val="single"/>
        <sz val="11"/>
        <color rgb="FF0563C1"/>
        <rFont val="Calibri"/>
      </rPr>
      <t xml:space="preserve">Application Lifecycle Management Model </t>
    </r>
    <r>
      <rPr>
        <b/>
        <sz val="11"/>
        <color rgb="FF969696"/>
        <rFont val="Calibri"/>
      </rPr>
      <t>[155 мин]</t>
    </r>
  </si>
  <si>
    <t>S21</t>
  </si>
  <si>
    <t>S22</t>
  </si>
  <si>
    <r>
      <rPr>
        <u val="single"/>
        <sz val="11"/>
        <color rgb="FF0563C1"/>
        <rFont val="Calibri"/>
      </rPr>
      <t xml:space="preserve">Aura Components Basics </t>
    </r>
    <r>
      <rPr>
        <b/>
        <sz val="11"/>
        <color rgb="FF969696"/>
        <rFont val="Calibri"/>
      </rPr>
      <t>[240 мин]</t>
    </r>
  </si>
  <si>
    <t>S23</t>
  </si>
  <si>
    <r>
      <rPr>
        <u val="single"/>
        <sz val="11"/>
        <color rgb="FF0563C1"/>
        <rFont val="Calibri"/>
      </rPr>
      <t xml:space="preserve">Understand Execution Context </t>
    </r>
    <r>
      <rPr>
        <b/>
        <sz val="11"/>
        <color rgb="FF969696"/>
        <rFont val="Calibri"/>
      </rPr>
      <t>[20 мин]</t>
    </r>
  </si>
  <si>
    <t>Архитектура и приложения</t>
  </si>
  <si>
    <t>Разработка и жизненный цикл приложений</t>
  </si>
  <si>
    <t>Консольные и оконные приложения</t>
  </si>
  <si>
    <t>Операционые системы и оболочки</t>
  </si>
  <si>
    <t>Концепции различных операционных систем (Windows, Linux)</t>
  </si>
  <si>
    <t>Общие сведения (модель памяти и процессов)</t>
  </si>
  <si>
    <t>Файловые системы (кофигурационные файлы, структура папок, создание ссылок, файлы внешних устройств)</t>
  </si>
  <si>
    <t>Ввод-вывод</t>
  </si>
  <si>
    <t>Командные оболочки</t>
  </si>
  <si>
    <t>Bash</t>
  </si>
  <si>
    <t>CMD</t>
  </si>
  <si>
    <t>PowerShell</t>
  </si>
  <si>
    <t>Сервера, компоненты и системы</t>
  </si>
  <si>
    <t>D1</t>
  </si>
  <si>
    <t>Сетевые протоколы и безопасность</t>
  </si>
  <si>
    <t>HTTP/HTTPS</t>
  </si>
  <si>
    <t>SSL</t>
  </si>
  <si>
    <t>IP (TCP/UDP)</t>
  </si>
  <si>
    <t>D2</t>
  </si>
  <si>
    <t>Сервера приложений</t>
  </si>
  <si>
    <t>TomCat</t>
  </si>
  <si>
    <t>WildFly</t>
  </si>
  <si>
    <t>IIS</t>
  </si>
  <si>
    <t>D3</t>
  </si>
  <si>
    <t>Web-сервера</t>
  </si>
  <si>
    <t>Apache</t>
  </si>
  <si>
    <t>Nginx</t>
  </si>
  <si>
    <t>D4</t>
  </si>
  <si>
    <t>MQ</t>
  </si>
  <si>
    <t>D5</t>
  </si>
  <si>
    <t>Subversion</t>
  </si>
  <si>
    <t>D6</t>
  </si>
  <si>
    <t>CI/CD</t>
  </si>
  <si>
    <t>Jenkins</t>
  </si>
  <si>
    <t>Teamcity</t>
  </si>
  <si>
    <t>Облачные CI/CD (Circle CI, Gitlab pipelines, Azure DevOps, Octopus Deploy)</t>
  </si>
  <si>
    <t>D7</t>
  </si>
  <si>
    <t xml:space="preserve">Configuration managers </t>
  </si>
  <si>
    <t>Puppet</t>
  </si>
  <si>
    <t>Ansible</t>
  </si>
  <si>
    <t>Chef</t>
  </si>
  <si>
    <t>DSC (Desired State Configuration)</t>
  </si>
  <si>
    <t>Terraform</t>
  </si>
  <si>
    <t>D8</t>
  </si>
  <si>
    <t>Мониторы логов</t>
  </si>
  <si>
    <t>Graylog</t>
  </si>
  <si>
    <t>Papertrail</t>
  </si>
  <si>
    <t>D9</t>
  </si>
  <si>
    <t>Мониторы инфраструктуры</t>
  </si>
  <si>
    <t>Zabbix</t>
  </si>
  <si>
    <t>Elastic search</t>
  </si>
  <si>
    <t>D10</t>
  </si>
  <si>
    <t>Containers</t>
  </si>
  <si>
    <t>VMware</t>
  </si>
  <si>
    <t>Docker</t>
  </si>
  <si>
    <t>Сравнение Виртуальных машин и Контейнеров (понимание виртуализации)</t>
  </si>
  <si>
    <t>D11</t>
  </si>
  <si>
    <t>Container Orchestration (Kubernetics)</t>
  </si>
  <si>
    <t>D12</t>
  </si>
  <si>
    <t xml:space="preserve">Облачные платформы </t>
  </si>
  <si>
    <t>AWS</t>
  </si>
  <si>
    <t>Azure</t>
  </si>
  <si>
    <t>Google Cloud</t>
  </si>
  <si>
    <t>D13</t>
  </si>
  <si>
    <t>Безопасность и методы защиты приложений (OWASP TOP-10)</t>
  </si>
  <si>
    <t xml:space="preserve">Injections </t>
  </si>
  <si>
    <t>Broken Authentication and Session Management</t>
  </si>
  <si>
    <t>XSS(Cross Site Scripting)</t>
  </si>
  <si>
    <t>Insecure Direct Object References</t>
  </si>
  <si>
    <t>Security Misconfiguration</t>
  </si>
  <si>
    <t>Missing Fгnction Level Access Control</t>
  </si>
  <si>
    <t>CSRF/XSRF</t>
  </si>
  <si>
    <t>Using Components with Known Vulnerabilities</t>
  </si>
  <si>
    <t>Unvalidated Redirects and Forwards</t>
  </si>
  <si>
    <t>Программирование на Python</t>
  </si>
  <si>
    <t>DY1</t>
  </si>
  <si>
    <t>типы данных (атомарные и ссылочные, изменяемые и неизменяемые)</t>
  </si>
  <si>
    <t>строки и unicode (кодировки cp1251, utf-8, utf-16)</t>
  </si>
  <si>
    <t>оператор is, функция id</t>
  </si>
  <si>
    <t>DY2</t>
  </si>
  <si>
    <t>DY3</t>
  </si>
  <si>
    <t>области видимости</t>
  </si>
  <si>
    <t>args, kwargs</t>
  </si>
  <si>
    <t>DY4</t>
  </si>
  <si>
    <t>DY5</t>
  </si>
  <si>
    <t>DY6</t>
  </si>
  <si>
    <t>Библиотеки для работы с операционной и файловой системами</t>
  </si>
  <si>
    <t>os</t>
  </si>
  <si>
    <t>sys</t>
  </si>
  <si>
    <t>shutil</t>
  </si>
  <si>
    <t xml:space="preserve">subprocess </t>
  </si>
  <si>
    <t>DY7</t>
  </si>
  <si>
    <t>Библиотеки для работы с сетью, БД и каталогами</t>
  </si>
  <si>
    <t>requests</t>
  </si>
  <si>
    <t>pyodbc</t>
  </si>
  <si>
    <t>paramico</t>
  </si>
  <si>
    <t>fabric</t>
  </si>
  <si>
    <t>pysnmp</t>
  </si>
  <si>
    <t>python-ldap</t>
  </si>
  <si>
    <t>DY8</t>
  </si>
  <si>
    <t>Библиотеки для парсинга данных</t>
  </si>
  <si>
    <t>json</t>
  </si>
  <si>
    <t>lxml</t>
  </si>
  <si>
    <t>DY9</t>
  </si>
  <si>
    <t>Другие библиотеки</t>
  </si>
  <si>
    <t>pip</t>
  </si>
  <si>
    <t>argparse</t>
  </si>
  <si>
    <t>Ipython</t>
  </si>
  <si>
    <t>Базы и структуры хранения данных</t>
  </si>
  <si>
    <t>Основные понятия реляционных БД</t>
  </si>
  <si>
    <t>Блокировки и Транзакции</t>
  </si>
  <si>
    <t>Особенности архитектуры различных SQL-серверов (MSSQL, Postgres, Oracle, MySql)</t>
  </si>
  <si>
    <t>SQL-запросы</t>
  </si>
  <si>
    <t>NoSQL DB</t>
  </si>
  <si>
    <t>Назначение NoSQL БД</t>
  </si>
  <si>
    <t>Структура данных</t>
  </si>
  <si>
    <t>Язык JSON</t>
  </si>
  <si>
    <t>DataSource</t>
  </si>
  <si>
    <t>Что такое JPA</t>
  </si>
  <si>
    <t>ORM (на примере Hibernate или Spring Data)</t>
  </si>
  <si>
    <t>Безопасность приложения, Авторизация и Аутентификация  (опционально, один из)</t>
  </si>
  <si>
    <t>Data management &amp; Data Quality [100 min]</t>
  </si>
  <si>
    <t>Data Quality</t>
  </si>
  <si>
    <t>Разрешение доступов из кода к внешним сайтам [70 мин]</t>
  </si>
  <si>
    <t>LinqConnect</t>
  </si>
  <si>
    <t>NHibernate</t>
  </si>
  <si>
    <t>Telerik Data Access</t>
  </si>
  <si>
    <t>ORM-решения (один из)</t>
  </si>
  <si>
    <t>Вступительное</t>
  </si>
  <si>
    <t>Зачтено</t>
  </si>
  <si>
    <t>В процессе</t>
  </si>
  <si>
    <t>В процессе 1</t>
  </si>
  <si>
    <t>В процессе 2</t>
  </si>
  <si>
    <t>В процессе 3</t>
  </si>
  <si>
    <t>В процессе 4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</si>
</sst>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1.0"/>
      <color rgb="FF000000"/>
      <name val="Calibri"/>
      <scheme val="minor"/>
    </font>
    <font>
      <b/>
      <sz val="11.0"/>
      <color rgb="FF000000"/>
      <name val="Calibri"/>
      <scheme val="minor"/>
    </font>
    <font>
      <b/>
      <sz val="11.0"/>
      <color rgb="FF000000"/>
      <name val="Calibri"/>
      <scheme val="minor"/>
    </font>
    <font>
      <sz val="11.0"/>
      <color rgb="FFFF0000"/>
      <name val="Calibri"/>
      <scheme val="minor"/>
    </font>
    <font>
      <sz val="11.0"/>
      <color rgb="FF000000"/>
      <name val="Calibri"/>
      <scheme val="minor"/>
    </font>
    <font>
      <sz val="11.0"/>
      <name val="Calibri"/>
      <scheme val="minor"/>
    </font>
    <font>
      <sz val="11.0"/>
      <color rgb="FF806000"/>
      <name val="Calibri"/>
      <scheme val="minor"/>
    </font>
    <font>
      <sz val="10.0"/>
      <color rgb="FF333333"/>
      <name val="Arial"/>
    </font>
    <font>
      <u/>
      <sz val="11.0"/>
      <color rgb="FF0563C1"/>
      <name val="Calibri"/>
      <scheme val="minor"/>
    </font>
    <font>
      <sz val="11.0"/>
      <color rgb="FF333333"/>
      <name val="Calibri"/>
      <scheme val="minor"/>
    </font>
    <font>
      <sz val="11.0"/>
      <color rgb="FF000000"/>
      <name val="Calibri"/>
      <scheme val="minor"/>
    </font>
    <font>
      <sz val="11.0"/>
      <color rgb="FF006100"/>
      <name val="Calibri"/>
      <scheme val="minor"/>
    </font>
    <font>
      <sz val="11.0"/>
      <color rgb="FF9C65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E1E5"/>
      </patternFill>
    </fill>
    <fill>
      <patternFill patternType="solid">
        <fgColor rgb="FFFFF5CD"/>
      </patternFill>
    </fill>
    <fill>
      <patternFill patternType="solid">
        <fgColor rgb="FFDEF6E3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bottom"/>
    </xf>
  </cellStyleXfs>
  <cellXfs count="65">
    <xf numFmtId="0" fontId="0" fillId="0" borderId="0" xfId="0" applyBorder="1" applyAlignment="1">
      <alignment horizontal="general" vertical="bottom"/>
      <protection/>
    </xf>
    <xf numFmtId="0" fontId="1" fillId="2" borderId="1" xfId="0" applyFont="1" applyFill="1" applyBorder="1" applyAlignment="1">
      <alignment horizontal="center" vertical="center"/>
      <protection/>
    </xf>
    <xf numFmtId="0" fontId="1" fillId="2" borderId="1" xfId="0" applyFont="1" applyFill="1" applyBorder="1" applyAlignment="1">
      <alignment horizontal="center" vertical="center" wrapText="1"/>
      <protection/>
    </xf>
    <xf numFmtId="0" fontId="0" fillId="2" borderId="1" xfId="0" applyFill="1" applyBorder="1" applyAlignment="1">
      <alignment horizontal="general" vertical="bottom"/>
      <protection/>
    </xf>
    <xf numFmtId="0" fontId="2" fillId="2" borderId="1" xfId="0" applyFont="1" applyFill="1" applyBorder="1" applyAlignment="1">
      <alignment horizontal="general" vertical="bottom"/>
      <protection/>
    </xf>
    <xf numFmtId="0" fontId="3" fillId="2" borderId="1" xfId="0" applyFont="1" applyFill="1" applyBorder="1" applyAlignment="1">
      <alignment horizontal="general" vertical="bottom"/>
      <protection/>
    </xf>
    <xf numFmtId="0" fontId="4" fillId="2" borderId="1" xfId="0" applyFont="1" applyFill="1" applyBorder="1" applyAlignment="1">
      <alignment horizontal="general" vertical="bottom"/>
      <protection/>
    </xf>
    <xf numFmtId="0" fontId="5" fillId="2" borderId="1" xfId="0" applyFont="1" applyFill="1" applyBorder="1" applyAlignment="1">
      <alignment horizontal="left" vertical="bottom" indent="1"/>
      <protection/>
    </xf>
    <xf numFmtId="0" fontId="6" fillId="2" borderId="1" xfId="0" applyFont="1" applyFill="1" applyBorder="1" applyAlignment="1">
      <alignment horizontal="general" vertical="bottom"/>
      <protection/>
    </xf>
    <xf numFmtId="0" fontId="0" fillId="2" borderId="1" xfId="0" applyFill="1" applyBorder="1" applyAlignment="1">
      <alignment horizontal="left" vertical="bottom" indent="1"/>
      <protection/>
    </xf>
    <xf numFmtId="0" fontId="5" fillId="2" borderId="1" xfId="0" applyFont="1" applyFill="1" applyBorder="1" applyAlignment="1">
      <alignment horizontal="general" vertical="bottom"/>
      <protection/>
    </xf>
    <xf numFmtId="0" fontId="2" fillId="0" borderId="1" xfId="0" applyFont="1" applyBorder="1" applyAlignment="1">
      <alignment horizontal="center" vertical="center" wrapText="1"/>
      <protection/>
    </xf>
    <xf numFmtId="0" fontId="0" fillId="0" borderId="1" xfId="0" applyBorder="1" applyAlignment="1">
      <alignment horizontal="general" vertical="bottom"/>
      <protection/>
    </xf>
    <xf numFmtId="0" fontId="0" fillId="2" borderId="1" xfId="0" applyFill="1" applyBorder="1" applyAlignment="1">
      <alignment horizontal="left" vertical="bottom"/>
      <protection/>
    </xf>
    <xf numFmtId="0" fontId="5" fillId="3" borderId="1" xfId="0" applyFont="1" applyFill="1" applyBorder="1" applyAlignment="1">
      <alignment horizontal="general" vertical="bottom"/>
      <protection/>
    </xf>
    <xf numFmtId="0" fontId="5" fillId="4" borderId="1" xfId="0" applyFont="1" applyFill="1" applyBorder="1" applyAlignment="1">
      <alignment horizontal="general" vertical="bottom"/>
      <protection/>
    </xf>
    <xf numFmtId="0" fontId="5" fillId="5" borderId="1" xfId="0" applyFont="1" applyFill="1" applyBorder="1" applyAlignment="1">
      <alignment horizontal="general" vertical="bottom"/>
      <protection/>
    </xf>
    <xf numFmtId="0" fontId="5" fillId="3" borderId="1" xfId="0" applyFont="1" applyFill="1" applyBorder="1" applyAlignment="1">
      <alignment horizontal="left" vertical="bottom"/>
      <protection/>
    </xf>
    <xf numFmtId="0" fontId="5" fillId="2" borderId="1" xfId="0" applyFont="1" applyFill="1" applyBorder="1" applyAlignment="1">
      <alignment horizontal="general" vertical="bottom"/>
      <protection/>
    </xf>
    <xf numFmtId="0" fontId="5" fillId="2" borderId="1" xfId="0" applyFont="1" applyFill="1" applyBorder="1" applyAlignment="1">
      <alignment horizontal="left" vertical="bottom" indent="1"/>
      <protection/>
    </xf>
    <xf numFmtId="0" fontId="5" fillId="2" borderId="1" xfId="0" applyFont="1" applyFill="1" applyBorder="1" applyAlignment="1">
      <alignment horizontal="left" vertical="bottom" indent="1"/>
      <protection/>
    </xf>
    <xf numFmtId="0" fontId="5" fillId="2" borderId="1" xfId="0" applyFont="1" applyFill="1" applyBorder="1" applyAlignment="1">
      <alignment horizontal="left" vertical="bottom" indent="1"/>
      <protection/>
    </xf>
    <xf numFmtId="0" fontId="0" fillId="2" borderId="0" xfId="0" applyFill="1" applyBorder="1" applyAlignment="1">
      <alignment horizontal="left" vertical="bottom" indent="1"/>
      <protection/>
    </xf>
    <xf numFmtId="0" fontId="0" fillId="2" borderId="0" xfId="0" applyFill="1" applyBorder="1" applyAlignment="1">
      <alignment horizontal="general" vertical="bottom"/>
      <protection/>
    </xf>
    <xf numFmtId="0" fontId="0" fillId="0" borderId="1" xfId="0" applyBorder="1" applyAlignment="1">
      <alignment horizontal="center" vertical="bottom"/>
      <protection/>
    </xf>
    <xf numFmtId="0" fontId="0" fillId="0" borderId="1" xfId="0" applyBorder="1" applyAlignment="1">
      <alignment horizontal="left" vertical="bottom" indent="1"/>
      <protection/>
    </xf>
    <xf numFmtId="0" fontId="0" fillId="0" borderId="1" xfId="0" applyBorder="1" applyAlignment="1">
      <alignment horizontal="left" vertical="bottom" indent="1"/>
      <protection/>
    </xf>
    <xf numFmtId="0" fontId="0" fillId="0" borderId="1" xfId="0" applyBorder="1" applyAlignment="1">
      <alignment horizontal="right" vertical="bottom"/>
      <protection/>
    </xf>
    <xf numFmtId="0" fontId="5" fillId="2" borderId="1" xfId="0" applyFont="1" applyFill="1" applyBorder="1" applyAlignment="1">
      <alignment horizontal="general" vertical="bottom"/>
      <protection/>
    </xf>
    <xf numFmtId="0" fontId="5" fillId="3" borderId="1" xfId="0" applyFont="1" applyFill="1" applyBorder="1" applyAlignment="1">
      <alignment horizontal="right" vertical="bottom"/>
      <protection/>
    </xf>
    <xf numFmtId="0" fontId="5" fillId="2" borderId="1" xfId="0" applyFont="1" applyFill="1" applyBorder="1" applyAlignment="1">
      <alignment horizontal="right" vertical="bottom"/>
      <protection/>
    </xf>
    <xf numFmtId="0" fontId="5" fillId="4" borderId="1" xfId="0" applyFont="1" applyFill="1" applyBorder="1" applyAlignment="1">
      <alignment horizontal="right" vertical="bottom"/>
      <protection/>
    </xf>
    <xf numFmtId="0" fontId="5" fillId="5" borderId="1" xfId="0" applyFont="1" applyFill="1" applyBorder="1" applyAlignment="1">
      <alignment horizontal="right" vertical="bottom"/>
      <protection/>
    </xf>
    <xf numFmtId="0" fontId="5" fillId="2" borderId="1" xfId="0" applyFont="1" applyFill="1" applyBorder="1" applyAlignment="1">
      <alignment horizontal="right" vertical="bottom"/>
      <protection/>
    </xf>
    <xf numFmtId="0" fontId="5" fillId="2" borderId="1" xfId="0" applyFont="1" applyFill="1" applyBorder="1" applyAlignment="1">
      <alignment horizontal="general" vertical="bottom"/>
      <protection/>
    </xf>
    <xf numFmtId="0" fontId="0" fillId="2" borderId="1" xfId="0" applyFill="1" applyBorder="1" applyAlignment="1">
      <alignment horizontal="right" vertical="bottom"/>
      <protection/>
    </xf>
    <xf numFmtId="0" fontId="5" fillId="3" borderId="1" xfId="0" applyFont="1" applyFill="1" applyBorder="1" applyAlignment="1">
      <alignment horizontal="right" vertical="center"/>
      <protection/>
    </xf>
    <xf numFmtId="0" fontId="5" fillId="2" borderId="1" xfId="0" applyFont="1" applyFill="1" applyBorder="1" applyAlignment="1">
      <alignment horizontal="right" vertical="center"/>
      <protection/>
    </xf>
    <xf numFmtId="0" fontId="5" fillId="4" borderId="1" xfId="0" applyFont="1" applyFill="1" applyBorder="1" applyAlignment="1">
      <alignment horizontal="right" vertical="center"/>
      <protection/>
    </xf>
    <xf numFmtId="0" fontId="5" fillId="2" borderId="1" xfId="0" applyFont="1" applyFill="1" applyBorder="1" applyAlignment="1">
      <alignment horizontal="right" vertical="center"/>
      <protection/>
    </xf>
    <xf numFmtId="0" fontId="5" fillId="5" borderId="1" xfId="0" applyFont="1" applyFill="1" applyBorder="1" applyAlignment="1">
      <alignment horizontal="right" vertical="center"/>
      <protection/>
    </xf>
    <xf numFmtId="0" fontId="5" fillId="2" borderId="1" xfId="0" applyFont="1" applyFill="1" applyBorder="1" applyAlignment="1">
      <alignment horizontal="right" vertical="center"/>
      <protection/>
    </xf>
    <xf numFmtId="0" fontId="0" fillId="0" borderId="1" xfId="0" applyBorder="1" applyAlignment="1">
      <alignment horizontal="right" vertical="center"/>
      <protection/>
    </xf>
    <xf numFmtId="0" fontId="0" fillId="2" borderId="1" xfId="0" applyFill="1" applyBorder="1" applyAlignment="1">
      <alignment horizontal="right" vertical="center"/>
      <protection/>
    </xf>
    <xf numFmtId="0" fontId="7" fillId="2" borderId="1" xfId="0" applyFont="1" applyFill="1" applyBorder="1" applyAlignment="1">
      <alignment horizontal="general" vertical="bottom"/>
      <protection/>
    </xf>
    <xf numFmtId="0" fontId="0" fillId="2" borderId="1" xfId="0" applyFill="1" applyBorder="1" applyAlignment="1">
      <alignment horizontal="left" vertical="bottom" indent="2"/>
      <protection/>
    </xf>
    <xf numFmtId="0" fontId="0" fillId="2" borderId="1" xfId="0" applyFill="1" applyBorder="1" applyAlignment="1">
      <alignment horizontal="general" vertical="bottom"/>
      <protection/>
    </xf>
    <xf numFmtId="0" fontId="8" fillId="2" borderId="1" xfId="0" applyFont="1" applyFill="1" applyBorder="1" applyAlignment="1">
      <alignment horizontal="left" vertical="bottom" indent="1"/>
      <protection/>
    </xf>
    <xf numFmtId="0" fontId="9" fillId="2" borderId="1" xfId="0" applyFont="1" applyFill="1" applyBorder="1" applyAlignment="1">
      <alignment horizontal="left" vertical="bottom" indent="1"/>
      <protection/>
    </xf>
    <xf numFmtId="0" fontId="0" fillId="2" borderId="1" xfId="0" applyFill="1" applyBorder="1" applyAlignment="1">
      <alignment horizontal="general" vertical="bottom" wrapText="1"/>
      <protection/>
    </xf>
    <xf numFmtId="0" fontId="10" fillId="2" borderId="1" xfId="0" applyFont="1" applyFill="1" applyBorder="1" applyAlignment="1">
      <alignment horizontal="left" vertical="bottom" indent="1"/>
      <protection/>
    </xf>
    <xf numFmtId="0" fontId="0" fillId="2" borderId="1" xfId="0" applyFill="1" applyBorder="1" applyAlignment="1">
      <alignment horizontal="left" vertical="bottom" indent="1"/>
      <protection/>
    </xf>
    <xf numFmtId="0" fontId="8" fillId="2" borderId="1" xfId="0" applyFont="1" applyFill="1" applyBorder="1" applyAlignment="1">
      <alignment horizontal="general" vertical="bottom"/>
      <protection/>
    </xf>
    <xf numFmtId="0" fontId="8" fillId="2" borderId="0" xfId="0" applyFont="1" applyFill="1" applyBorder="1" applyAlignment="1">
      <alignment horizontal="left" vertical="bottom" indent="1"/>
      <protection/>
    </xf>
    <xf numFmtId="0" fontId="0" fillId="2" borderId="2" xfId="0" applyFill="1" applyBorder="1" applyAlignment="1">
      <alignment horizontal="general" vertical="bottom"/>
      <protection/>
    </xf>
    <xf numFmtId="0" fontId="8" fillId="2" borderId="0" xfId="0" applyFont="1" applyFill="1" applyBorder="1" applyAlignment="1">
      <alignment horizontal="general" vertical="bottom"/>
      <protection/>
    </xf>
    <xf numFmtId="0" fontId="10" fillId="2" borderId="1" xfId="0" applyFont="1" applyFill="1" applyBorder="1" applyAlignment="1">
      <alignment horizontal="general" vertical="bottom"/>
      <protection/>
    </xf>
    <xf numFmtId="0" fontId="2" fillId="2" borderId="1" xfId="0" applyFont="1" applyFill="1" applyBorder="1" applyAlignment="1">
      <alignment horizontal="left" vertical="bottom"/>
      <protection/>
    </xf>
    <xf numFmtId="0" fontId="10" fillId="2" borderId="3" xfId="0" applyFont="1" applyFill="1" applyBorder="1" applyAlignment="1">
      <alignment horizontal="left" vertical="bottom"/>
      <protection/>
    </xf>
    <xf numFmtId="0" fontId="10" fillId="2" borderId="1" xfId="0" applyFont="1" applyFill="1" applyBorder="1" applyAlignment="1">
      <alignment horizontal="left" vertical="bottom"/>
      <protection/>
    </xf>
    <xf numFmtId="0" fontId="2" fillId="2" borderId="0" xfId="0" applyFont="1" applyFill="1" applyBorder="1" applyAlignment="1">
      <alignment horizontal="general" vertical="bottom"/>
      <protection/>
    </xf>
    <xf numFmtId="0" fontId="5" fillId="2" borderId="1" xfId="0" applyFont="1" applyFill="1" applyBorder="1" applyAlignment="1">
      <alignment horizontal="right" vertical="bottom"/>
      <protection/>
    </xf>
    <xf numFmtId="0" fontId="1" fillId="2" borderId="3" xfId="0" applyFont="1" applyFill="1" applyBorder="1" applyAlignment="1">
      <alignment horizontal="center" vertical="center"/>
      <protection/>
    </xf>
    <xf numFmtId="0" fontId="11" fillId="6" borderId="0" xfId="0" applyFont="1" applyFill="1" applyBorder="1" applyAlignment="1">
      <alignment horizontal="general" vertical="bottom"/>
      <protection/>
    </xf>
    <xf numFmtId="0" fontId="12" fillId="7" borderId="0" xfId="0" applyFont="1" applyFill="1" applyBorder="1" applyAlignment="1">
      <alignment horizontal="general" vertical="bottom"/>
      <protection/>
    </xf>
  </cellXfs>
  <cellStyles count="1">
    <cellStyle name="Normal" xfId="0" builtinId="0"/>
  </cellStyles>
  <tableStyles count="0" defaultTableStyle="TableStyleMedium2" defaultPivotStyle="PivotStyleLight16"/>
</styleSheet>
</file>

<file path=xl/_rels/workbook.xml.rels><?xml version='1.0' encoding='UTF-8' standalone='yes' ?><Relationships xmlns="http://schemas.openxmlformats.org/package/2006/relationships"><Relationship Id="rId1" Type="http://schemas.openxmlformats.org/officeDocument/2006/relationships/theme" Target="theme/theme1.xml" TargetMode="Internal" /><Relationship Id="rId2" Type="http://schemas.openxmlformats.org/officeDocument/2006/relationships/worksheet" Target="worksheets/sheet1.xml" TargetMode="Internal" /><Relationship Id="rId3" Type="http://schemas.openxmlformats.org/officeDocument/2006/relationships/worksheet" Target="worksheets/sheet2.xml" TargetMode="Internal" /><Relationship Id="rId4" Type="http://schemas.openxmlformats.org/officeDocument/2006/relationships/worksheet" Target="worksheets/sheet3.xml" TargetMode="Internal" /><Relationship Id="rId10" Type="http://schemas.openxmlformats.org/officeDocument/2006/relationships/sharedStrings" Target="sharedStrings.xml" TargetMode="Internal" /><Relationship Id="rId9" Type="http://schemas.openxmlformats.org/officeDocument/2006/relationships/styles" Target="styles.xml" TargetMode="Internal" /><Relationship Id="rId5" Type="http://schemas.openxmlformats.org/officeDocument/2006/relationships/worksheet" Target="worksheets/sheet4.xml" TargetMode="Internal" /><Relationship Id="rId6" Type="http://schemas.openxmlformats.org/officeDocument/2006/relationships/worksheet" Target="worksheets/sheet5.xml" TargetMode="Internal" /><Relationship Id="rId7" Type="http://schemas.openxmlformats.org/officeDocument/2006/relationships/worksheet" Target="worksheets/sheet6.xml" TargetMode="Internal" /><Relationship Id="rId8" Type="http://schemas.openxmlformats.org/officeDocument/2006/relationships/worksheet" Target="worksheets/sheet7.xml" TargetMode="Interna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Tibt" typeface="Microsoft Himalaya"/>
        <a:font script="Geor" typeface="Sylfaen"/>
        <a:font script="Khmr" typeface="MoolBoran"/>
        <a:font script="Beng" typeface="Vrinda"/>
        <a:font script="Taml" typeface="Latha"/>
        <a:font script="Hebr" typeface="Times New Roman"/>
        <a:font script="Syrc" typeface="Estrangelo Edessa"/>
        <a:font script="Laoo" typeface="DokChampa"/>
        <a:font script="Cher" typeface="Plantagenet Cherokee"/>
        <a:font script="Thaa" typeface="MV Boli"/>
        <a:font script="Sinh" typeface="Iskoola Pota"/>
        <a:font script="Thai" typeface="Tahoma"/>
        <a:font script="Cans" typeface="Euphemia"/>
        <a:font script="Mong" typeface="Mongolian Baiti"/>
        <a:font script="Knda" typeface="Tunga"/>
        <a:font script="Viet" typeface="Times New Roman"/>
        <a:font script="Deva" typeface="Mangal"/>
        <a:font script="Arab" typeface="Times New Roman"/>
        <a:font script="Orya" typeface="Kalinga"/>
        <a:font script="Jpan" typeface="游ゴシック Light"/>
        <a:font script="Hang" typeface="맑은 고딕"/>
        <a:font script="Ethi" typeface="Nyala"/>
        <a:font script="Guru" typeface="Raavi"/>
        <a:font script="Gujr" typeface="Shruti"/>
        <a:font script="Mlym" typeface="Kartika"/>
        <a:font script="Yiii" typeface="Microsoft Yi Baiti"/>
        <a:font script="Hans" typeface="等线 Light"/>
        <a:font script="Hant" typeface="新細明體"/>
        <a:font script="Telu" typeface="Gautami"/>
        <a:font script="Uigh" typeface="Microsoft Uighur"/>
      </a:majorFont>
      <a:minorFont>
        <a:latin typeface="Calibri" panose="020F0502020204030204"/>
        <a:ea typeface=""/>
        <a:cs typeface=""/>
        <a:font script="Tibt" typeface="Microsoft Himalaya"/>
        <a:font script="Geor" typeface="Sylfaen"/>
        <a:font script="Khmr" typeface="DaunPenh"/>
        <a:font script="Beng" typeface="Vrinda"/>
        <a:font script="Taml" typeface="Latha"/>
        <a:font script="Hebr" typeface="Arial"/>
        <a:font script="Syrc" typeface="Estrangelo Edessa"/>
        <a:font script="Laoo" typeface="DokChampa"/>
        <a:font script="Cher" typeface="Plantagenet Cherokee"/>
        <a:font script="Thaa" typeface="MV Boli"/>
        <a:font script="Sinh" typeface="Iskoola Pota"/>
        <a:font script="Thai" typeface="Tahoma"/>
        <a:font script="Cans" typeface="Euphemia"/>
        <a:font script="Mong" typeface="Mongolian Baiti"/>
        <a:font script="Knda" typeface="Tunga"/>
        <a:font script="Viet" typeface="Arial"/>
        <a:font script="Deva" typeface="Mangal"/>
        <a:font script="Arab" typeface="Arial"/>
        <a:font script="Orya" typeface="Kalinga"/>
        <a:font script="Jpan" typeface="游ゴシック"/>
        <a:font script="Hang" typeface="맑은 고딕"/>
        <a:font script="Ethi" typeface="Nyala"/>
        <a:font script="Guru" typeface="Raavi"/>
        <a:font script="Gujr" typeface="Shruti"/>
        <a:font script="Mlym" typeface="Kartika"/>
        <a:font script="Yiii" typeface="Microsoft Yi Baiti"/>
        <a:font script="Hans" typeface="等线"/>
        <a:font script="Hant" typeface="新細明體"/>
        <a:font script="Telu" typeface="Gautami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'1.0' encoding='UTF-8' standalone='yes' ?><Relationships xmlns="http://schemas.openxmlformats.org/package/2006/relationships"><Relationship Id="rId20" Type="http://schemas.openxmlformats.org/officeDocument/2006/relationships/hyperlink" Target="https://trailhead.salesforce.com/content/learn/trails/determine-which-application-lifecycle-management-model-is-right-for-you" TargetMode="External" /><Relationship Id="rId22" Type="http://schemas.openxmlformats.org/officeDocument/2006/relationships/hyperlink" Target="https://trailhead.salesforce.com/en/content/learn/modules/apex_basics_dotnet/execution_context" TargetMode="External" /><Relationship Id="rId21" Type="http://schemas.openxmlformats.org/officeDocument/2006/relationships/hyperlink" Target="https://trailhead.salesforce.com/en/content/learn/modules/lex_dev_lc_basics" TargetMode="External" /><Relationship Id="rId24" Type="http://schemas.openxmlformats.org/officeDocument/2006/relationships/hyperlink" Target="https://trailhead.salesforce.com/en/content/learn/modules/data_quality" TargetMode="External" /><Relationship Id="rId23" Type="http://schemas.openxmlformats.org/officeDocument/2006/relationships/hyperlink" Target="https://trailhead.salesforce.com/en/content/learn/modules/point_click_business_logic" TargetMode="External" /><Relationship Id="rId1" Type="http://schemas.openxmlformats.org/officeDocument/2006/relationships/hyperlink" Target="https://trailhead.salesforce.com/content/learn/modules/platform_dev_basics?trail_id=force_com_dev_beginner" TargetMode="External" /><Relationship Id="rId2" Type="http://schemas.openxmlformats.org/officeDocument/2006/relationships/hyperlink" Target="http://trailhead.salesforce.com/content/learn/modules/platform_dev_basics?trail_id=force_com_dev_beginner" TargetMode="External" /><Relationship Id="rId3" Type="http://schemas.openxmlformats.org/officeDocument/2006/relationships/hyperlink" Target="https://trailhead.salesforce.com/en/content/learn/modules/admin_intro_opptys_leads" TargetMode="External" /><Relationship Id="rId4" Type="http://schemas.openxmlformats.org/officeDocument/2006/relationships/hyperlink" Target="https://trailhead.salesforce.com/en/content/learn/modules/admin_intro_accounts_contacts" TargetMode="External" /><Relationship Id="rId9" Type="http://schemas.openxmlformats.org/officeDocument/2006/relationships/hyperlink" Target="https://trailhead.salesforce.com/en/content/learn/modules/developer_console" TargetMode="External" /><Relationship Id="rId25" Type="http://schemas.openxmlformats.org/officeDocument/2006/relationships/hyperlink" Target="https://trailhead.salesforce.com/en/content/learn/modules/external-services" TargetMode="External" /><Relationship Id="rId5" Type="http://schemas.openxmlformats.org/officeDocument/2006/relationships/hyperlink" Target="https://trailhead.salesforce.com/en/content/learn/modules/campaign_basics" TargetMode="External" /><Relationship Id="rId6" Type="http://schemas.openxmlformats.org/officeDocument/2006/relationships/hyperlink" Target="https://trailhead.salesforce.com/en/content/learn/modules/data_modeling" TargetMode="External" /><Relationship Id="rId7" Type="http://schemas.openxmlformats.org/officeDocument/2006/relationships/hyperlink" Target="https://trailhead.salesforce.com/en/content/learn/projects/customize-a-salesforce-object" TargetMode="External" /><Relationship Id="rId8" Type="http://schemas.openxmlformats.org/officeDocument/2006/relationships/hyperlink" Target="https://trailhead.salesforce.com/en/content/learn/modules/reports_dashboards" TargetMode="External" /><Relationship Id="rId11" Type="http://schemas.openxmlformats.org/officeDocument/2006/relationships/hyperlink" Target="https://trailhead.salesforce.com/content/learn/modules/business_process_automation?trail_id=automate_business_processes" TargetMode="External" /><Relationship Id="rId10" Type="http://schemas.openxmlformats.org/officeDocument/2006/relationships/hyperlink" Target="https://trailhead.salesforce.com/en/content/learn/modules/data_security" TargetMode="External" /><Relationship Id="rId13" Type="http://schemas.openxmlformats.org/officeDocument/2006/relationships/hyperlink" Target="https://trailhead.salesforce.com/en/content/learn/modules/visualforce_fundamentals" TargetMode="External" /><Relationship Id="rId12" Type="http://schemas.openxmlformats.org/officeDocument/2006/relationships/hyperlink" Target="https://trailhead.salesforce.com/en/content/learn/modules/lex_implementation_data_management" TargetMode="External" /><Relationship Id="rId15" Type="http://schemas.openxmlformats.org/officeDocument/2006/relationships/hyperlink" Target="https://trailhead.salesforce.com/en/content/learn/modules/apex_triggers" TargetMode="External" /><Relationship Id="rId14" Type="http://schemas.openxmlformats.org/officeDocument/2006/relationships/hyperlink" Target="https://trailhead.salesforce.com/en/content/learn/modules/apex_database" TargetMode="External" /><Relationship Id="rId17" Type="http://schemas.openxmlformats.org/officeDocument/2006/relationships/hyperlink" Target="https://trailhead.salesforce.com/en/content/learn/modules/api_basics" TargetMode="External" /><Relationship Id="rId16" Type="http://schemas.openxmlformats.org/officeDocument/2006/relationships/hyperlink" Target="https://trailhead.salesforce.com/en/content/learn/modules/apex_testing" TargetMode="External" /><Relationship Id="rId19" Type="http://schemas.openxmlformats.org/officeDocument/2006/relationships/hyperlink" Target="https://trailhead.salesforce.com/content/learn/modules/apex_integration_services" TargetMode="External" /><Relationship Id="rId18" Type="http://schemas.openxmlformats.org/officeDocument/2006/relationships/hyperlink" Target="https://trailhead.salesforce.com/content/learn/modules/asynchronous_apex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outlinePr/>
    <pageSetUpPr/>
  </sheetPr>
  <dimension ref="A1:O305"/>
  <sheetViews>
    <sheetView tabSelected="1" topLeftCell="A67" workbookViewId="0" zoomScaleNormal="100" zoomScaleSheetLayoutView="60">
      <selection activeCell="B90" sqref="B90"/>
    </sheetView>
  </sheetViews>
  <sheetFormatPr defaultRowHeight="15.0" outlineLevelRow="1"/>
  <cols>
    <col min="1" max="1" width="6.251953125" bestFit="1" customWidth="1"/>
    <col min="2" max="2" width="60.126953125" customWidth="1"/>
    <col min="3" max="3" width="7.001953125" bestFit="1" customWidth="1"/>
    <col min="4" max="4" width="8.876953125" bestFit="1" customWidth="1"/>
    <col min="6" max="6" width="11.001953125" bestFit="1" customWidth="1"/>
    <col min="7" max="7" width="17.751953125" customWidth="1"/>
    <col min="8" max="8" width="12.751953125" customWidth="1"/>
    <col min="15" max="15" width="13.251953125" customWidth="1"/>
  </cols>
  <sheetData>
    <row r="1" ht="45.0">
      <c r="A1" s="1" t="s">
        <v>0</v>
      </c>
      <c r="B1" s="1" t="s">
        <v>1</v>
      </c>
      <c r="C1" s="1" t="s">
        <v>2</v>
      </c>
      <c r="D1" s="2" t="s">
        <v>3</v>
      </c>
      <c r="E1" s="11" t="s">
        <v>171</v>
      </c>
      <c r="F1" s="1" t="s">
        <v>344</v>
      </c>
      <c r="G1" s="62" t="s">
        <v>983</v>
      </c>
      <c r="H1">
        <v>1.0</v>
      </c>
      <c r="I1">
        <v>2.0</v>
      </c>
      <c r="J1">
        <v>3.0</v>
      </c>
    </row>
    <row r="2">
      <c r="A2" s="3"/>
      <c r="B2" s="4" t="s">
        <v>4</v>
      </c>
      <c r="C2" s="4">
        <f>SUM(C3:C8)</f>
        <v>6.0</v>
      </c>
      <c r="D2" s="4">
        <f>SUM(D3:D8)</f>
        <v>30.0</v>
      </c>
      <c r="E2" s="42"/>
      <c r="F2" s="12"/>
      <c r="O2" s="63" t="s">
        <v>984</v>
      </c>
    </row>
    <row r="3">
      <c r="A3" s="3" t="s">
        <v>5</v>
      </c>
      <c r="B3" s="3" t="s">
        <v>6</v>
      </c>
      <c r="C3" s="3">
        <v>1.0</v>
      </c>
      <c r="D3" s="3">
        <v>5.0</v>
      </c>
      <c r="E3" s="42"/>
      <c r="F3" s="12"/>
      <c r="O3" s="64" t="s">
        <v>985</v>
      </c>
    </row>
    <row r="4" collapsed="1">
      <c r="A4" s="3" t="s">
        <v>7</v>
      </c>
      <c r="B4" s="5" t="s">
        <v>8</v>
      </c>
      <c r="C4" s="3">
        <v>3.0</v>
      </c>
      <c r="D4" s="6">
        <v>15.0</v>
      </c>
      <c r="E4" s="42"/>
      <c r="F4" s="12"/>
      <c r="G4" s="63" t="s">
        <v>984</v>
      </c>
    </row>
    <row r="5" hidden="1" outlineLevel="1">
      <c r="A5" s="3"/>
      <c r="B5" s="7" t="s">
        <v>9</v>
      </c>
      <c r="C5" s="3"/>
      <c r="D5" s="6"/>
      <c r="E5" s="42"/>
      <c r="F5" s="12"/>
    </row>
    <row r="6" hidden="1" outlineLevel="1">
      <c r="A6" s="3"/>
      <c r="B6" s="7" t="s">
        <v>10</v>
      </c>
      <c r="C6" s="3"/>
      <c r="D6" s="6"/>
      <c r="E6" s="42"/>
      <c r="F6" s="12"/>
    </row>
    <row r="7" hidden="1" outlineLevel="1">
      <c r="A7" s="3"/>
      <c r="B7" s="7" t="s">
        <v>11</v>
      </c>
      <c r="C7" s="3"/>
      <c r="D7" s="6"/>
      <c r="E7" s="42"/>
      <c r="F7" s="12"/>
    </row>
    <row r="8" collapsed="1">
      <c r="A8" s="3" t="s">
        <v>12</v>
      </c>
      <c r="B8" s="8" t="s">
        <v>13</v>
      </c>
      <c r="C8" s="3">
        <v>2.0</v>
      </c>
      <c r="D8" s="3">
        <v>10.0</v>
      </c>
      <c r="E8" s="42"/>
      <c r="F8" s="12"/>
      <c r="H8" s="64" t="s">
        <v>989</v>
      </c>
    </row>
    <row r="9" hidden="1" outlineLevel="1">
      <c r="A9" s="3"/>
      <c r="B9" s="7" t="s">
        <v>14</v>
      </c>
      <c r="C9" s="3"/>
      <c r="D9" s="3"/>
      <c r="E9" s="42"/>
      <c r="F9" s="12"/>
    </row>
    <row r="10" hidden="1" outlineLevel="1">
      <c r="A10" s="3"/>
      <c r="B10" s="9" t="s">
        <v>15</v>
      </c>
      <c r="C10" s="3"/>
      <c r="D10" s="3"/>
      <c r="E10" s="42"/>
      <c r="F10" s="12"/>
    </row>
    <row r="11" hidden="1" outlineLevel="1">
      <c r="A11" s="3"/>
      <c r="B11" s="9" t="s">
        <v>16</v>
      </c>
      <c r="C11" s="3"/>
      <c r="D11" s="3"/>
      <c r="E11" s="42"/>
      <c r="F11" s="12"/>
    </row>
    <row r="12">
      <c r="A12" s="3"/>
      <c r="B12" s="3"/>
      <c r="C12" s="3"/>
      <c r="D12" s="3"/>
      <c r="E12" s="42"/>
      <c r="F12" s="12"/>
    </row>
    <row r="13">
      <c r="A13" s="3"/>
      <c r="B13" s="4" t="s">
        <v>17</v>
      </c>
      <c r="C13" s="4">
        <f>SUM(C14,C20)</f>
        <v>3.0</v>
      </c>
      <c r="D13" s="4">
        <f>SUM(D14:D20)</f>
        <v>30.0</v>
      </c>
      <c r="E13" s="42"/>
      <c r="F13" s="12"/>
    </row>
    <row r="14">
      <c r="A14" s="3" t="s">
        <v>18</v>
      </c>
      <c r="B14" s="5" t="s">
        <v>19</v>
      </c>
      <c r="C14" s="3">
        <v>1.0</v>
      </c>
      <c r="D14" s="3">
        <v>10.0</v>
      </c>
      <c r="E14" s="42"/>
      <c r="F14" s="12"/>
      <c r="G14" s="63" t="s">
        <v>984</v>
      </c>
    </row>
    <row r="15" outlineLevel="1">
      <c r="A15" s="3"/>
      <c r="B15" s="7" t="s">
        <v>20</v>
      </c>
      <c r="C15" s="3"/>
      <c r="D15" s="3"/>
      <c r="E15" s="42"/>
      <c r="F15" s="12"/>
    </row>
    <row r="16" outlineLevel="1">
      <c r="A16" s="3"/>
      <c r="B16" s="7" t="s">
        <v>21</v>
      </c>
      <c r="C16" s="3"/>
      <c r="D16" s="3"/>
      <c r="E16" s="42"/>
      <c r="F16" s="12"/>
    </row>
    <row r="17" outlineLevel="1">
      <c r="A17" s="3"/>
      <c r="B17" s="7" t="s">
        <v>22</v>
      </c>
      <c r="C17" s="3"/>
      <c r="D17" s="3"/>
      <c r="E17" s="42"/>
      <c r="F17" s="12"/>
    </row>
    <row r="18" outlineLevel="1">
      <c r="A18" s="3"/>
      <c r="B18" s="7" t="s">
        <v>23</v>
      </c>
      <c r="C18" s="3"/>
      <c r="D18" s="3"/>
      <c r="E18" s="42"/>
      <c r="F18" s="12"/>
    </row>
    <row r="19" outlineLevel="1">
      <c r="A19" s="3"/>
      <c r="B19" s="7" t="s">
        <v>24</v>
      </c>
      <c r="C19" s="3"/>
      <c r="D19" s="3"/>
      <c r="E19" s="42"/>
      <c r="F19" s="12"/>
    </row>
    <row r="20">
      <c r="A20" s="3" t="s">
        <v>25</v>
      </c>
      <c r="B20" s="8" t="s">
        <v>26</v>
      </c>
      <c r="C20" s="3">
        <v>2.0</v>
      </c>
      <c r="D20" s="3">
        <v>20.0</v>
      </c>
      <c r="E20" s="42"/>
      <c r="F20" s="12"/>
      <c r="H20" s="64" t="s">
        <v>989</v>
      </c>
    </row>
    <row r="21">
      <c r="A21" s="3"/>
      <c r="B21" s="8"/>
      <c r="C21" s="3"/>
      <c r="D21" s="3"/>
      <c r="E21" s="42"/>
      <c r="F21" s="12"/>
    </row>
    <row r="22">
      <c r="A22" s="3"/>
      <c r="B22" s="4" t="s">
        <v>27</v>
      </c>
      <c r="C22" s="4">
        <f>SUM(C23:C199)</f>
        <v>64.0</v>
      </c>
      <c r="D22" s="4">
        <f>SUM(D23:D203)</f>
        <v>550.0</v>
      </c>
      <c r="E22" s="42"/>
      <c r="F22" s="12"/>
    </row>
    <row r="23" collapsed="1">
      <c r="A23" s="14" t="s">
        <v>28</v>
      </c>
      <c r="B23" s="14" t="s">
        <v>173</v>
      </c>
      <c r="C23" s="14">
        <v>1.0</v>
      </c>
      <c r="D23" s="14">
        <v>10.0</v>
      </c>
      <c r="E23" s="36" t="s">
        <v>28</v>
      </c>
      <c r="F23" s="14">
        <v>1.0</v>
      </c>
      <c r="G23" s="63" t="s">
        <v>984</v>
      </c>
    </row>
    <row r="24" hidden="1" outlineLevel="1">
      <c r="A24" s="18"/>
      <c r="B24" s="19" t="s">
        <v>29</v>
      </c>
      <c r="C24" s="18"/>
      <c r="D24" s="18"/>
      <c r="E24" s="37"/>
      <c r="F24" s="18"/>
    </row>
    <row r="25" hidden="1" outlineLevel="1">
      <c r="A25" s="18"/>
      <c r="B25" s="19" t="s">
        <v>174</v>
      </c>
      <c r="C25" s="18"/>
      <c r="D25" s="18"/>
      <c r="E25" s="37"/>
      <c r="F25" s="18"/>
    </row>
    <row r="26" hidden="1" outlineLevel="1">
      <c r="A26" s="18"/>
      <c r="B26" s="19" t="s">
        <v>175</v>
      </c>
      <c r="C26" s="18"/>
      <c r="D26" s="18"/>
      <c r="E26" s="37"/>
      <c r="F26" s="18"/>
    </row>
    <row r="27" hidden="1" outlineLevel="1">
      <c r="A27" s="18"/>
      <c r="B27" s="19" t="s">
        <v>176</v>
      </c>
      <c r="C27" s="18"/>
      <c r="D27" s="18"/>
      <c r="E27" s="37"/>
      <c r="F27" s="18"/>
    </row>
    <row r="28" hidden="1" outlineLevel="1">
      <c r="A28" s="18"/>
      <c r="B28" s="19" t="s">
        <v>177</v>
      </c>
      <c r="C28" s="18"/>
      <c r="D28" s="18"/>
      <c r="E28" s="37"/>
      <c r="F28" s="18"/>
    </row>
    <row r="29" collapsed="1">
      <c r="A29" s="14" t="s">
        <v>30</v>
      </c>
      <c r="B29" s="14" t="s">
        <v>33</v>
      </c>
      <c r="C29" s="14">
        <v>1.0</v>
      </c>
      <c r="D29" s="14">
        <v>15.0</v>
      </c>
      <c r="E29" s="36" t="s">
        <v>32</v>
      </c>
      <c r="F29" s="14">
        <v>1.0</v>
      </c>
      <c r="G29" s="63" t="s">
        <v>984</v>
      </c>
    </row>
    <row r="30" hidden="1" outlineLevel="1">
      <c r="A30" s="18"/>
      <c r="B30" s="19" t="s">
        <v>34</v>
      </c>
      <c r="C30" s="18"/>
      <c r="D30" s="18"/>
      <c r="E30" s="37"/>
      <c r="F30" s="18"/>
    </row>
    <row r="31" hidden="1" outlineLevel="1">
      <c r="A31" s="18"/>
      <c r="B31" s="19" t="s">
        <v>35</v>
      </c>
      <c r="C31" s="18"/>
      <c r="D31" s="18"/>
      <c r="E31" s="37"/>
      <c r="F31" s="18"/>
    </row>
    <row r="32" hidden="1" outlineLevel="1">
      <c r="A32" s="18"/>
      <c r="B32" s="19" t="s">
        <v>178</v>
      </c>
      <c r="C32" s="18"/>
      <c r="D32" s="18"/>
      <c r="E32" s="37"/>
      <c r="F32" s="18"/>
    </row>
    <row r="33" hidden="1" outlineLevel="1">
      <c r="A33" s="18"/>
      <c r="B33" s="19" t="s">
        <v>179</v>
      </c>
      <c r="C33" s="18"/>
      <c r="D33" s="18"/>
      <c r="E33" s="37"/>
      <c r="F33" s="18"/>
    </row>
    <row r="34" hidden="1" outlineLevel="1">
      <c r="A34" s="18"/>
      <c r="B34" s="19" t="s">
        <v>180</v>
      </c>
      <c r="C34" s="18"/>
      <c r="D34" s="18"/>
      <c r="E34" s="37"/>
      <c r="F34" s="18"/>
    </row>
    <row r="35" hidden="1" outlineLevel="1">
      <c r="A35" s="18"/>
      <c r="B35" s="19" t="s">
        <v>181</v>
      </c>
      <c r="C35" s="18"/>
      <c r="D35" s="18"/>
      <c r="E35" s="37"/>
      <c r="F35" s="18"/>
    </row>
    <row r="36" hidden="1" outlineLevel="1">
      <c r="A36" s="18"/>
      <c r="B36" s="19" t="s">
        <v>182</v>
      </c>
      <c r="C36" s="18"/>
      <c r="D36" s="18"/>
      <c r="E36" s="37"/>
      <c r="F36" s="18"/>
    </row>
    <row r="37" hidden="1" outlineLevel="1">
      <c r="A37" s="18"/>
      <c r="B37" s="19" t="s">
        <v>183</v>
      </c>
      <c r="C37" s="18"/>
      <c r="D37" s="18"/>
      <c r="E37" s="37"/>
      <c r="F37" s="18"/>
    </row>
    <row r="38" collapsed="1">
      <c r="A38" s="14" t="s">
        <v>32</v>
      </c>
      <c r="B38" s="14" t="s">
        <v>31</v>
      </c>
      <c r="C38" s="14">
        <v>1.0</v>
      </c>
      <c r="D38" s="14">
        <v>20.0</v>
      </c>
      <c r="E38" s="36" t="s">
        <v>30</v>
      </c>
      <c r="F38" s="14">
        <v>1.0</v>
      </c>
      <c r="G38" s="63" t="s">
        <v>984</v>
      </c>
    </row>
    <row r="39" hidden="1" outlineLevel="1">
      <c r="A39" s="18"/>
      <c r="B39" s="19" t="s">
        <v>184</v>
      </c>
      <c r="C39" s="18"/>
      <c r="D39" s="18"/>
      <c r="E39" s="37"/>
      <c r="F39" s="18"/>
    </row>
    <row r="40" hidden="1" outlineLevel="1">
      <c r="A40" s="18"/>
      <c r="B40" s="19" t="s">
        <v>185</v>
      </c>
      <c r="C40" s="18"/>
      <c r="D40" s="18"/>
      <c r="E40" s="37"/>
      <c r="F40" s="18"/>
    </row>
    <row r="41" hidden="1" outlineLevel="1">
      <c r="A41" s="18"/>
      <c r="B41" s="19" t="s">
        <v>186</v>
      </c>
      <c r="C41" s="18"/>
      <c r="D41" s="18"/>
      <c r="E41" s="37"/>
      <c r="F41" s="18"/>
    </row>
    <row r="42" hidden="1" outlineLevel="1">
      <c r="A42" s="18"/>
      <c r="B42" s="19" t="s">
        <v>187</v>
      </c>
      <c r="C42" s="18"/>
      <c r="D42" s="18"/>
      <c r="E42" s="37"/>
      <c r="F42" s="18"/>
    </row>
    <row r="43" hidden="1" outlineLevel="1">
      <c r="A43" s="18"/>
      <c r="B43" s="19" t="s">
        <v>188</v>
      </c>
      <c r="C43" s="18"/>
      <c r="D43" s="18"/>
      <c r="E43" s="37"/>
      <c r="F43" s="18"/>
    </row>
    <row r="44" hidden="1" outlineLevel="1">
      <c r="A44" s="18"/>
      <c r="B44" s="19" t="s">
        <v>189</v>
      </c>
      <c r="C44" s="18"/>
      <c r="D44" s="18"/>
      <c r="E44" s="37"/>
      <c r="F44" s="18"/>
    </row>
    <row r="45" hidden="1" outlineLevel="1">
      <c r="A45" s="18"/>
      <c r="B45" s="19" t="s">
        <v>190</v>
      </c>
      <c r="C45" s="18"/>
      <c r="D45" s="18"/>
      <c r="E45" s="37"/>
      <c r="F45" s="18"/>
    </row>
    <row r="46" hidden="1" outlineLevel="1">
      <c r="A46" s="18"/>
      <c r="B46" s="19" t="s">
        <v>473</v>
      </c>
      <c r="C46" s="18"/>
      <c r="D46" s="18"/>
      <c r="E46" s="37"/>
      <c r="F46" s="18"/>
    </row>
    <row r="47" collapsed="1">
      <c r="A47" s="14" t="s">
        <v>36</v>
      </c>
      <c r="B47" s="14" t="s">
        <v>37</v>
      </c>
      <c r="C47" s="14">
        <v>1.0</v>
      </c>
      <c r="D47" s="14">
        <v>10.0</v>
      </c>
      <c r="E47" s="36" t="s">
        <v>36</v>
      </c>
      <c r="F47" s="14">
        <v>1.0</v>
      </c>
      <c r="G47" s="63" t="s">
        <v>984</v>
      </c>
    </row>
    <row r="48" hidden="1" outlineLevel="1">
      <c r="A48" s="18"/>
      <c r="B48" s="19" t="s">
        <v>191</v>
      </c>
      <c r="C48" s="18"/>
      <c r="D48" s="18"/>
      <c r="E48" s="37"/>
      <c r="F48" s="18"/>
    </row>
    <row r="49" hidden="1" outlineLevel="1">
      <c r="A49" s="18"/>
      <c r="B49" s="19" t="s">
        <v>192</v>
      </c>
      <c r="C49" s="18"/>
      <c r="D49" s="18"/>
      <c r="E49" s="37"/>
      <c r="F49" s="18"/>
    </row>
    <row r="50" hidden="1" outlineLevel="1">
      <c r="A50" s="18"/>
      <c r="B50" s="19" t="s">
        <v>193</v>
      </c>
      <c r="C50" s="18"/>
      <c r="D50" s="18"/>
      <c r="E50" s="37"/>
      <c r="F50" s="18"/>
    </row>
    <row r="51" collapsed="1">
      <c r="A51" s="14" t="s">
        <v>38</v>
      </c>
      <c r="B51" s="14" t="s">
        <v>39</v>
      </c>
      <c r="C51" s="14">
        <v>1.0</v>
      </c>
      <c r="D51" s="14">
        <v>20.0</v>
      </c>
      <c r="E51" s="36" t="s">
        <v>38</v>
      </c>
      <c r="F51" s="14">
        <v>1.0</v>
      </c>
    </row>
    <row r="52" hidden="1" outlineLevel="1">
      <c r="A52" s="18"/>
      <c r="B52" s="19" t="s">
        <v>194</v>
      </c>
      <c r="C52" s="18"/>
      <c r="D52" s="18"/>
      <c r="E52" s="37"/>
      <c r="F52" s="18"/>
    </row>
    <row r="53" hidden="1" outlineLevel="1">
      <c r="A53" s="18"/>
      <c r="B53" s="19" t="s">
        <v>195</v>
      </c>
      <c r="C53" s="18"/>
      <c r="D53" s="18"/>
      <c r="E53" s="37"/>
      <c r="F53" s="18"/>
    </row>
    <row r="54" hidden="1" outlineLevel="1">
      <c r="A54" s="18"/>
      <c r="B54" s="19" t="s">
        <v>196</v>
      </c>
      <c r="C54" s="18"/>
      <c r="D54" s="18"/>
      <c r="E54" s="37"/>
      <c r="F54" s="18"/>
    </row>
    <row r="55" hidden="1" outlineLevel="1">
      <c r="A55" s="18"/>
      <c r="B55" s="19" t="s">
        <v>197</v>
      </c>
      <c r="C55" s="18"/>
      <c r="D55" s="18"/>
      <c r="E55" s="37"/>
      <c r="F55" s="18"/>
    </row>
    <row r="56" hidden="1" outlineLevel="1">
      <c r="A56" s="18"/>
      <c r="B56" s="19" t="s">
        <v>198</v>
      </c>
      <c r="C56" s="18"/>
      <c r="D56" s="18"/>
      <c r="E56" s="37"/>
      <c r="F56" s="18"/>
    </row>
    <row r="57" collapsed="1">
      <c r="A57" s="14" t="s">
        <v>40</v>
      </c>
      <c r="B57" s="14" t="s">
        <v>41</v>
      </c>
      <c r="C57" s="14">
        <v>1.0</v>
      </c>
      <c r="D57" s="14">
        <v>10.0</v>
      </c>
      <c r="E57" s="36" t="s">
        <v>40</v>
      </c>
      <c r="F57" s="14">
        <v>1.0</v>
      </c>
      <c r="H57" s="64" t="s">
        <v>988</v>
      </c>
    </row>
    <row r="58" hidden="1" outlineLevel="1">
      <c r="A58" s="18"/>
      <c r="B58" s="19" t="s">
        <v>199</v>
      </c>
      <c r="C58" s="18"/>
      <c r="D58" s="18"/>
      <c r="E58" s="37"/>
      <c r="F58" s="18"/>
    </row>
    <row r="59" hidden="1" outlineLevel="1">
      <c r="A59" s="18"/>
      <c r="B59" s="19" t="s">
        <v>200</v>
      </c>
      <c r="C59" s="18"/>
      <c r="D59" s="18"/>
      <c r="E59" s="37"/>
      <c r="F59" s="18"/>
    </row>
    <row r="60" hidden="1" outlineLevel="1">
      <c r="A60" s="18"/>
      <c r="B60" s="19" t="s">
        <v>201</v>
      </c>
      <c r="C60" s="18"/>
      <c r="D60" s="18"/>
      <c r="E60" s="37"/>
      <c r="F60" s="18"/>
    </row>
    <row r="61" hidden="1" outlineLevel="1">
      <c r="A61" s="18"/>
      <c r="B61" s="19" t="s">
        <v>42</v>
      </c>
      <c r="C61" s="18"/>
      <c r="D61" s="18"/>
      <c r="E61" s="37"/>
      <c r="F61" s="18"/>
    </row>
    <row r="62" hidden="1" outlineLevel="1">
      <c r="A62" s="18"/>
      <c r="B62" s="19" t="s">
        <v>43</v>
      </c>
      <c r="C62" s="18"/>
      <c r="D62" s="18"/>
      <c r="E62" s="37"/>
      <c r="F62" s="18"/>
    </row>
    <row r="63" collapsed="1">
      <c r="A63" s="14" t="s">
        <v>44</v>
      </c>
      <c r="B63" s="14" t="s">
        <v>202</v>
      </c>
      <c r="C63" s="14">
        <v>1.0</v>
      </c>
      <c r="D63" s="14">
        <v>10.0</v>
      </c>
      <c r="E63" s="36" t="s">
        <v>44</v>
      </c>
      <c r="F63" s="14">
        <v>1.0</v>
      </c>
      <c r="H63" s="64" t="s">
        <v>986</v>
      </c>
    </row>
    <row r="64" hidden="1" outlineLevel="1">
      <c r="A64" s="18"/>
      <c r="B64" s="19" t="s">
        <v>203</v>
      </c>
      <c r="C64" s="18"/>
      <c r="D64" s="18"/>
      <c r="E64" s="37"/>
      <c r="F64" s="18"/>
    </row>
    <row r="65" hidden="1" outlineLevel="1">
      <c r="A65" s="18"/>
      <c r="B65" s="19" t="s">
        <v>204</v>
      </c>
      <c r="C65" s="18"/>
      <c r="D65" s="18"/>
      <c r="E65" s="37"/>
      <c r="F65" s="18"/>
    </row>
    <row r="66" hidden="1" outlineLevel="1">
      <c r="A66" s="18"/>
      <c r="B66" s="19" t="s">
        <v>205</v>
      </c>
      <c r="C66" s="18"/>
      <c r="D66" s="18"/>
      <c r="E66" s="37"/>
      <c r="F66" s="18"/>
    </row>
    <row r="67" collapsed="1">
      <c r="A67" s="14" t="s">
        <v>45</v>
      </c>
      <c r="B67" s="14" t="s">
        <v>46</v>
      </c>
      <c r="C67" s="14">
        <v>1.0</v>
      </c>
      <c r="D67" s="14">
        <v>15.0</v>
      </c>
      <c r="E67" s="36" t="s">
        <v>45</v>
      </c>
      <c r="F67" s="14">
        <v>1.0</v>
      </c>
      <c r="H67" s="64" t="s">
        <v>986</v>
      </c>
    </row>
    <row r="68" hidden="1" outlineLevel="1">
      <c r="A68" s="18"/>
      <c r="B68" s="19" t="s">
        <v>210</v>
      </c>
      <c r="C68" s="18"/>
      <c r="D68" s="18"/>
      <c r="E68" s="37"/>
      <c r="F68" s="18"/>
    </row>
    <row r="69" hidden="1" outlineLevel="1">
      <c r="A69" s="18"/>
      <c r="B69" s="19" t="s">
        <v>211</v>
      </c>
      <c r="C69" s="18"/>
      <c r="D69" s="18"/>
      <c r="E69" s="37"/>
      <c r="F69" s="18"/>
    </row>
    <row r="70" hidden="1" outlineLevel="1">
      <c r="A70" s="18"/>
      <c r="B70" s="19" t="s">
        <v>212</v>
      </c>
      <c r="C70" s="18"/>
      <c r="D70" s="18"/>
      <c r="E70" s="37"/>
      <c r="F70" s="18"/>
    </row>
    <row r="71" hidden="1" outlineLevel="1">
      <c r="A71" s="18"/>
      <c r="B71" s="19" t="s">
        <v>213</v>
      </c>
      <c r="C71" s="18"/>
      <c r="D71" s="18"/>
      <c r="E71" s="37"/>
      <c r="F71" s="18"/>
    </row>
    <row r="72" collapsed="1">
      <c r="A72" s="14" t="s">
        <v>47</v>
      </c>
      <c r="B72" s="14" t="s">
        <v>218</v>
      </c>
      <c r="C72" s="14">
        <v>1.0</v>
      </c>
      <c r="D72" s="14">
        <v>10.0</v>
      </c>
      <c r="E72" s="36" t="s">
        <v>47</v>
      </c>
      <c r="F72" s="14">
        <v>1.0</v>
      </c>
      <c r="H72" s="64" t="s">
        <v>986</v>
      </c>
    </row>
    <row r="73" hidden="1" outlineLevel="1">
      <c r="A73" s="18"/>
      <c r="B73" s="19" t="s">
        <v>210</v>
      </c>
      <c r="C73" s="18"/>
      <c r="D73" s="18"/>
      <c r="E73" s="37"/>
      <c r="F73" s="18"/>
    </row>
    <row r="74" hidden="1" outlineLevel="1">
      <c r="A74" s="18"/>
      <c r="B74" s="19" t="s">
        <v>219</v>
      </c>
      <c r="C74" s="18"/>
      <c r="D74" s="18"/>
      <c r="E74" s="37"/>
      <c r="F74" s="18"/>
    </row>
    <row r="75" hidden="1" outlineLevel="1">
      <c r="A75" s="18"/>
      <c r="B75" s="19" t="s">
        <v>220</v>
      </c>
      <c r="C75" s="18"/>
      <c r="D75" s="18"/>
      <c r="E75" s="37"/>
      <c r="F75" s="18"/>
    </row>
    <row r="76" hidden="1" outlineLevel="1">
      <c r="A76" s="18"/>
      <c r="B76" s="19" t="s">
        <v>221</v>
      </c>
      <c r="C76" s="18"/>
      <c r="D76" s="18"/>
      <c r="E76" s="37"/>
      <c r="F76" s="18"/>
    </row>
    <row r="77" hidden="1" outlineLevel="1">
      <c r="A77" s="18"/>
      <c r="B77" s="19" t="s">
        <v>222</v>
      </c>
      <c r="C77" s="18"/>
      <c r="D77" s="18"/>
      <c r="E77" s="37"/>
      <c r="F77" s="18"/>
    </row>
    <row r="78" collapsed="1">
      <c r="A78" s="14" t="s">
        <v>48</v>
      </c>
      <c r="B78" s="14" t="s">
        <v>223</v>
      </c>
      <c r="C78" s="14">
        <v>1.0</v>
      </c>
      <c r="D78" s="14">
        <v>20.0</v>
      </c>
      <c r="E78" s="36" t="s">
        <v>48</v>
      </c>
      <c r="F78" s="14">
        <v>1.0</v>
      </c>
      <c r="H78" s="64" t="s">
        <v>986</v>
      </c>
    </row>
    <row r="79" hidden="1" outlineLevel="1">
      <c r="A79" s="18"/>
      <c r="B79" s="19" t="s">
        <v>224</v>
      </c>
      <c r="C79" s="18"/>
      <c r="D79" s="18"/>
      <c r="E79" s="37"/>
      <c r="F79" s="18"/>
    </row>
    <row r="80" hidden="1" outlineLevel="1">
      <c r="A80" s="18"/>
      <c r="B80" s="19" t="s">
        <v>225</v>
      </c>
      <c r="C80" s="18"/>
      <c r="D80" s="18"/>
      <c r="E80" s="37"/>
      <c r="F80" s="18"/>
    </row>
    <row r="81" hidden="1" outlineLevel="1">
      <c r="A81" s="18"/>
      <c r="B81" s="19" t="s">
        <v>226</v>
      </c>
      <c r="C81" s="18"/>
      <c r="D81" s="18"/>
      <c r="E81" s="37"/>
      <c r="F81" s="18"/>
    </row>
    <row r="82" hidden="1" outlineLevel="1">
      <c r="A82" s="18"/>
      <c r="B82" s="19" t="s">
        <v>227</v>
      </c>
      <c r="C82" s="18"/>
      <c r="D82" s="18"/>
      <c r="E82" s="37"/>
      <c r="F82" s="18"/>
    </row>
    <row r="83" hidden="1" outlineLevel="1">
      <c r="A83" s="18"/>
      <c r="B83" s="19" t="s">
        <v>228</v>
      </c>
      <c r="C83" s="18"/>
      <c r="D83" s="18"/>
      <c r="E83" s="37"/>
      <c r="F83" s="18"/>
    </row>
    <row r="84" hidden="1" outlineLevel="1">
      <c r="A84" s="18"/>
      <c r="B84" s="19" t="s">
        <v>229</v>
      </c>
      <c r="C84" s="18"/>
      <c r="D84" s="18"/>
      <c r="E84" s="37"/>
      <c r="F84" s="18"/>
    </row>
    <row r="85" hidden="1" outlineLevel="1">
      <c r="A85" s="18"/>
      <c r="B85" s="19" t="s">
        <v>230</v>
      </c>
      <c r="C85" s="18"/>
      <c r="D85" s="18"/>
      <c r="E85" s="37"/>
      <c r="F85" s="18"/>
    </row>
    <row r="86" collapsed="1">
      <c r="A86" s="14" t="s">
        <v>49</v>
      </c>
      <c r="B86" s="14" t="s">
        <v>50</v>
      </c>
      <c r="C86" s="14">
        <v>1.0</v>
      </c>
      <c r="D86" s="14">
        <v>15.0</v>
      </c>
      <c r="E86" s="36" t="s">
        <v>49</v>
      </c>
      <c r="F86" s="14">
        <v>1.0</v>
      </c>
    </row>
    <row r="87" hidden="1" outlineLevel="1">
      <c r="A87" s="18"/>
      <c r="B87" s="19" t="s">
        <v>51</v>
      </c>
      <c r="C87" s="18"/>
      <c r="D87" s="18"/>
      <c r="E87" s="37"/>
      <c r="F87" s="18"/>
    </row>
    <row r="88" hidden="1" outlineLevel="1">
      <c r="A88" s="18"/>
      <c r="B88" s="19" t="s">
        <v>231</v>
      </c>
      <c r="C88" s="18"/>
      <c r="D88" s="18"/>
      <c r="E88" s="37"/>
      <c r="F88" s="18"/>
    </row>
    <row r="89" hidden="1" outlineLevel="1">
      <c r="A89" s="18"/>
      <c r="B89" s="19" t="s">
        <v>232</v>
      </c>
      <c r="C89" s="18"/>
      <c r="D89" s="18"/>
      <c r="E89" s="37"/>
      <c r="F89" s="18"/>
    </row>
    <row r="90" collapsed="1">
      <c r="A90" s="14" t="s">
        <v>52</v>
      </c>
      <c r="B90" s="17" t="s">
        <v>253</v>
      </c>
      <c r="C90" s="14">
        <v>1.0</v>
      </c>
      <c r="D90" s="14">
        <v>15.0</v>
      </c>
      <c r="E90" s="36" t="s">
        <v>54</v>
      </c>
      <c r="F90" s="14">
        <v>1.0</v>
      </c>
    </row>
    <row r="91" hidden="1" outlineLevel="1">
      <c r="A91" s="18"/>
      <c r="B91" s="19" t="s">
        <v>254</v>
      </c>
      <c r="C91" s="18"/>
      <c r="D91" s="18"/>
      <c r="E91" s="37"/>
      <c r="F91" s="18"/>
    </row>
    <row r="92" hidden="1" outlineLevel="1">
      <c r="A92" s="18"/>
      <c r="B92" s="19" t="s">
        <v>255</v>
      </c>
      <c r="C92" s="18"/>
      <c r="D92" s="18"/>
      <c r="E92" s="37"/>
      <c r="F92" s="18"/>
    </row>
    <row r="93" hidden="1" outlineLevel="1">
      <c r="A93" s="18"/>
      <c r="B93" s="19" t="s">
        <v>256</v>
      </c>
      <c r="C93" s="18"/>
      <c r="D93" s="18"/>
      <c r="E93" s="37"/>
      <c r="F93" s="18"/>
    </row>
    <row r="94" collapsed="1">
      <c r="A94" s="14" t="s">
        <v>54</v>
      </c>
      <c r="B94" s="14" t="s">
        <v>974</v>
      </c>
      <c r="C94" s="14">
        <v>1.0</v>
      </c>
      <c r="D94" s="14">
        <v>30.0</v>
      </c>
      <c r="E94" s="36" t="s">
        <v>56</v>
      </c>
      <c r="F94" s="14">
        <v>1.0</v>
      </c>
      <c r="H94" s="64" t="s">
        <v>988</v>
      </c>
    </row>
    <row r="95" hidden="1" outlineLevel="1">
      <c r="A95" s="18"/>
      <c r="B95" s="19" t="s">
        <v>973</v>
      </c>
      <c r="C95" s="18"/>
      <c r="D95" s="18"/>
      <c r="E95" s="37"/>
      <c r="F95" s="18"/>
    </row>
    <row r="96" hidden="1" outlineLevel="1">
      <c r="A96" s="18"/>
      <c r="B96" s="19" t="s">
        <v>972</v>
      </c>
      <c r="C96" s="18"/>
      <c r="D96" s="18"/>
      <c r="E96" s="37"/>
      <c r="F96" s="18"/>
    </row>
    <row r="97" hidden="1" outlineLevel="1">
      <c r="A97" s="18"/>
      <c r="B97" s="19" t="s">
        <v>282</v>
      </c>
      <c r="C97" s="18"/>
      <c r="D97" s="18"/>
      <c r="E97" s="37"/>
      <c r="F97" s="18"/>
    </row>
    <row r="98" hidden="1" outlineLevel="1">
      <c r="A98" s="18"/>
      <c r="B98" s="19" t="s">
        <v>283</v>
      </c>
      <c r="C98" s="18"/>
      <c r="D98" s="18"/>
      <c r="E98" s="37"/>
      <c r="F98" s="18"/>
    </row>
    <row r="99" hidden="1" outlineLevel="1">
      <c r="A99" s="18"/>
      <c r="B99" s="19" t="s">
        <v>284</v>
      </c>
      <c r="C99" s="18"/>
      <c r="D99" s="18"/>
      <c r="E99" s="37"/>
      <c r="F99" s="18"/>
    </row>
    <row r="100" hidden="1" outlineLevel="1">
      <c r="A100" s="18"/>
      <c r="B100" s="19" t="s">
        <v>285</v>
      </c>
      <c r="C100" s="18"/>
      <c r="D100" s="18"/>
      <c r="E100" s="37"/>
      <c r="F100" s="18"/>
    </row>
    <row r="101" hidden="1" outlineLevel="1">
      <c r="A101" s="18"/>
      <c r="B101" s="19" t="s">
        <v>286</v>
      </c>
      <c r="C101" s="18"/>
      <c r="D101" s="18"/>
      <c r="E101" s="37"/>
      <c r="F101" s="18"/>
    </row>
    <row r="102" hidden="1" outlineLevel="1">
      <c r="A102" s="18"/>
      <c r="B102" s="19" t="s">
        <v>287</v>
      </c>
      <c r="C102" s="18"/>
      <c r="D102" s="18"/>
      <c r="E102" s="37"/>
      <c r="F102" s="18"/>
    </row>
    <row r="103" collapsed="1">
      <c r="A103" s="14" t="s">
        <v>55</v>
      </c>
      <c r="B103" s="14" t="s">
        <v>309</v>
      </c>
      <c r="C103" s="14">
        <v>1.0</v>
      </c>
      <c r="D103" s="14">
        <v>20.0</v>
      </c>
      <c r="E103" s="36" t="s">
        <v>59</v>
      </c>
      <c r="F103" s="14">
        <v>1.0</v>
      </c>
      <c r="G103" s="63" t="s">
        <v>984</v>
      </c>
    </row>
    <row r="104" hidden="1" outlineLevel="1">
      <c r="A104" s="18"/>
      <c r="B104" s="19" t="s">
        <v>310</v>
      </c>
      <c r="C104" s="18"/>
      <c r="D104" s="18"/>
      <c r="E104" s="37"/>
      <c r="F104" s="18"/>
    </row>
    <row r="105" hidden="1" outlineLevel="1">
      <c r="A105" s="18"/>
      <c r="B105" s="19" t="s">
        <v>311</v>
      </c>
      <c r="C105" s="18"/>
      <c r="D105" s="18"/>
      <c r="E105" s="37"/>
      <c r="F105" s="18"/>
    </row>
    <row r="106" hidden="1" outlineLevel="1">
      <c r="A106" s="18"/>
      <c r="B106" s="19" t="s">
        <v>312</v>
      </c>
      <c r="C106" s="18"/>
      <c r="D106" s="18"/>
      <c r="E106" s="37"/>
      <c r="F106" s="18"/>
    </row>
    <row r="107" hidden="1" outlineLevel="1">
      <c r="A107" s="18"/>
      <c r="B107" s="19" t="s">
        <v>313</v>
      </c>
      <c r="C107" s="18"/>
      <c r="D107" s="18"/>
      <c r="E107" s="37"/>
      <c r="F107" s="18"/>
    </row>
    <row r="108" collapsed="1">
      <c r="A108" s="14" t="s">
        <v>56</v>
      </c>
      <c r="B108" s="14" t="s">
        <v>315</v>
      </c>
      <c r="C108" s="14">
        <v>1.0</v>
      </c>
      <c r="D108" s="14">
        <v>15.0</v>
      </c>
      <c r="E108" s="36" t="s">
        <v>60</v>
      </c>
      <c r="F108" s="14">
        <v>1.0</v>
      </c>
    </row>
    <row r="109" outlineLevel="1">
      <c r="A109" s="18"/>
      <c r="B109" s="19" t="s">
        <v>316</v>
      </c>
      <c r="C109" s="18"/>
      <c r="D109" s="18"/>
      <c r="E109" s="37"/>
      <c r="F109" s="18"/>
    </row>
    <row r="110" outlineLevel="1">
      <c r="A110" s="18"/>
      <c r="B110" s="19" t="s">
        <v>317</v>
      </c>
      <c r="C110" s="18"/>
      <c r="D110" s="18"/>
      <c r="E110" s="37"/>
      <c r="F110" s="18"/>
    </row>
    <row r="111" collapsed="1">
      <c r="A111" s="14" t="s">
        <v>57</v>
      </c>
      <c r="B111" s="14" t="s">
        <v>333</v>
      </c>
      <c r="C111" s="14">
        <v>1.0</v>
      </c>
      <c r="D111" s="14">
        <v>20.0</v>
      </c>
      <c r="E111" s="36" t="s">
        <v>172</v>
      </c>
      <c r="F111" s="14">
        <v>1.0</v>
      </c>
    </row>
    <row r="112" outlineLevel="1">
      <c r="A112" s="18"/>
      <c r="B112" s="19" t="s">
        <v>334</v>
      </c>
      <c r="C112" s="18"/>
      <c r="D112" s="18"/>
      <c r="E112" s="37"/>
      <c r="F112" s="18"/>
    </row>
    <row r="113" outlineLevel="1">
      <c r="A113" s="18"/>
      <c r="B113" s="19" t="s">
        <v>341</v>
      </c>
      <c r="C113" s="18"/>
      <c r="D113" s="18"/>
      <c r="E113" s="37"/>
      <c r="F113" s="18"/>
    </row>
    <row r="114" collapsed="1">
      <c r="A114" s="15" t="s">
        <v>58</v>
      </c>
      <c r="B114" s="15" t="s">
        <v>206</v>
      </c>
      <c r="C114" s="15">
        <v>2.0</v>
      </c>
      <c r="D114" s="15">
        <v>10.0</v>
      </c>
      <c r="E114" s="38" t="s">
        <v>44</v>
      </c>
      <c r="F114" s="15">
        <v>2.0</v>
      </c>
      <c r="H114" s="64" t="s">
        <v>986</v>
      </c>
    </row>
    <row r="115" hidden="1" outlineLevel="1">
      <c r="A115" s="20"/>
      <c r="B115" s="20" t="s">
        <v>207</v>
      </c>
      <c r="C115" s="20"/>
      <c r="D115" s="20"/>
      <c r="E115" s="39"/>
      <c r="F115" s="20"/>
    </row>
    <row r="116" hidden="1" outlineLevel="1">
      <c r="A116" s="20"/>
      <c r="B116" s="20" t="s">
        <v>208</v>
      </c>
      <c r="C116" s="20"/>
      <c r="D116" s="20"/>
      <c r="E116" s="39"/>
      <c r="F116" s="20"/>
    </row>
    <row r="117" hidden="1" outlineLevel="1">
      <c r="A117" s="20"/>
      <c r="B117" s="20" t="s">
        <v>209</v>
      </c>
      <c r="C117" s="20"/>
      <c r="D117" s="20"/>
      <c r="E117" s="39"/>
      <c r="F117" s="20"/>
    </row>
    <row r="118" collapsed="1">
      <c r="A118" s="15" t="s">
        <v>59</v>
      </c>
      <c r="B118" s="15" t="s">
        <v>214</v>
      </c>
      <c r="C118" s="15">
        <v>2.0</v>
      </c>
      <c r="D118" s="15">
        <v>10.0</v>
      </c>
      <c r="E118" s="38" t="s">
        <v>172</v>
      </c>
      <c r="F118" s="15">
        <v>2.0</v>
      </c>
    </row>
    <row r="119" hidden="1" outlineLevel="1">
      <c r="A119" s="20"/>
      <c r="B119" s="20" t="s">
        <v>215</v>
      </c>
      <c r="C119" s="20"/>
      <c r="D119" s="20"/>
      <c r="E119" s="39"/>
      <c r="F119" s="20"/>
    </row>
    <row r="120" hidden="1" outlineLevel="1">
      <c r="A120" s="20"/>
      <c r="B120" s="20" t="s">
        <v>216</v>
      </c>
      <c r="C120" s="20"/>
      <c r="D120" s="20"/>
      <c r="E120" s="39"/>
      <c r="F120" s="20"/>
    </row>
    <row r="121" hidden="1" outlineLevel="1">
      <c r="A121" s="20"/>
      <c r="B121" s="20" t="s">
        <v>217</v>
      </c>
      <c r="C121" s="20"/>
      <c r="D121" s="20"/>
      <c r="E121" s="39"/>
      <c r="F121" s="20"/>
    </row>
    <row r="122" collapsed="1">
      <c r="A122" s="15" t="s">
        <v>60</v>
      </c>
      <c r="B122" s="15" t="s">
        <v>234</v>
      </c>
      <c r="C122" s="15">
        <v>2.0</v>
      </c>
      <c r="D122" s="15">
        <v>10.0</v>
      </c>
      <c r="E122" s="38" t="s">
        <v>172</v>
      </c>
      <c r="F122" s="15">
        <v>2.0</v>
      </c>
    </row>
    <row r="123" hidden="1" outlineLevel="1">
      <c r="A123" s="20"/>
      <c r="B123" s="20" t="s">
        <v>233</v>
      </c>
      <c r="C123" s="20"/>
      <c r="D123" s="20"/>
      <c r="E123" s="39"/>
      <c r="F123" s="20"/>
    </row>
    <row r="124" hidden="1" outlineLevel="1">
      <c r="A124" s="20"/>
      <c r="B124" s="20" t="s">
        <v>235</v>
      </c>
      <c r="C124" s="20"/>
      <c r="D124" s="20"/>
      <c r="E124" s="39"/>
      <c r="F124" s="20"/>
    </row>
    <row r="125" hidden="1" outlineLevel="1">
      <c r="A125" s="20"/>
      <c r="B125" s="20" t="s">
        <v>236</v>
      </c>
      <c r="C125" s="20"/>
      <c r="D125" s="20"/>
      <c r="E125" s="39"/>
      <c r="F125" s="20"/>
    </row>
    <row r="126" hidden="1" outlineLevel="1">
      <c r="A126" s="20"/>
      <c r="B126" s="20" t="s">
        <v>237</v>
      </c>
      <c r="C126" s="20"/>
      <c r="D126" s="20"/>
      <c r="E126" s="39"/>
      <c r="F126" s="20"/>
    </row>
    <row r="127" hidden="1" outlineLevel="1">
      <c r="A127" s="20"/>
      <c r="B127" s="20" t="s">
        <v>238</v>
      </c>
      <c r="C127" s="20"/>
      <c r="D127" s="20"/>
      <c r="E127" s="39"/>
      <c r="F127" s="20"/>
    </row>
    <row r="128" hidden="1" outlineLevel="1">
      <c r="A128" s="20"/>
      <c r="B128" s="20" t="s">
        <v>239</v>
      </c>
      <c r="C128" s="20"/>
      <c r="D128" s="20"/>
      <c r="E128" s="39"/>
      <c r="F128" s="20"/>
    </row>
    <row r="129" collapsed="1">
      <c r="A129" s="15" t="s">
        <v>271</v>
      </c>
      <c r="B129" s="15" t="s">
        <v>345</v>
      </c>
      <c r="C129" s="15">
        <v>2.0</v>
      </c>
      <c r="D129" s="15">
        <v>15.0</v>
      </c>
      <c r="E129" s="38" t="s">
        <v>172</v>
      </c>
      <c r="F129" s="15">
        <v>2.0</v>
      </c>
    </row>
    <row r="130" hidden="1" outlineLevel="1">
      <c r="A130" s="20"/>
      <c r="B130" s="20" t="s">
        <v>319</v>
      </c>
      <c r="C130" s="20"/>
      <c r="D130" s="20"/>
      <c r="E130" s="39"/>
      <c r="F130" s="20"/>
    </row>
    <row r="131" hidden="1" outlineLevel="1">
      <c r="A131" s="20"/>
      <c r="B131" s="20" t="s">
        <v>320</v>
      </c>
      <c r="C131" s="20"/>
      <c r="D131" s="20"/>
      <c r="E131" s="39"/>
      <c r="F131" s="20"/>
    </row>
    <row r="132" hidden="1" outlineLevel="1">
      <c r="A132" s="20"/>
      <c r="B132" s="20" t="s">
        <v>321</v>
      </c>
      <c r="C132" s="20"/>
      <c r="D132" s="20"/>
      <c r="E132" s="39"/>
      <c r="F132" s="20"/>
    </row>
    <row r="133" hidden="1" outlineLevel="1">
      <c r="A133" s="20"/>
      <c r="B133" s="20" t="s">
        <v>322</v>
      </c>
      <c r="C133" s="20"/>
      <c r="D133" s="20"/>
      <c r="E133" s="39"/>
      <c r="F133" s="20"/>
    </row>
    <row r="134" collapsed="1">
      <c r="A134" s="15" t="s">
        <v>274</v>
      </c>
      <c r="B134" s="15" t="s">
        <v>346</v>
      </c>
      <c r="C134" s="15">
        <v>2.0</v>
      </c>
      <c r="D134" s="15">
        <v>10.0</v>
      </c>
      <c r="E134" s="38" t="s">
        <v>172</v>
      </c>
      <c r="F134" s="15">
        <v>2.0</v>
      </c>
    </row>
    <row r="135" hidden="1" outlineLevel="1">
      <c r="A135" s="20"/>
      <c r="B135" s="20" t="s">
        <v>330</v>
      </c>
      <c r="C135" s="20"/>
      <c r="D135" s="20"/>
      <c r="E135" s="39"/>
      <c r="F135" s="20"/>
    </row>
    <row r="136" hidden="1" outlineLevel="1">
      <c r="A136" s="20"/>
      <c r="B136" s="20" t="s">
        <v>331</v>
      </c>
      <c r="C136" s="20"/>
      <c r="D136" s="20"/>
      <c r="E136" s="39"/>
      <c r="F136" s="20"/>
    </row>
    <row r="137" collapsed="1">
      <c r="A137" s="15" t="s">
        <v>281</v>
      </c>
      <c r="B137" s="15" t="s">
        <v>335</v>
      </c>
      <c r="C137" s="15">
        <v>2.0</v>
      </c>
      <c r="D137" s="15">
        <v>15.0</v>
      </c>
      <c r="E137" s="38" t="s">
        <v>172</v>
      </c>
      <c r="F137" s="15">
        <v>2.0</v>
      </c>
    </row>
    <row r="138" outlineLevel="1">
      <c r="A138" s="12"/>
      <c r="B138" s="9" t="s">
        <v>336</v>
      </c>
      <c r="C138" s="12"/>
      <c r="D138" s="12"/>
      <c r="E138" s="42"/>
      <c r="F138" s="12"/>
    </row>
    <row r="139" outlineLevel="1">
      <c r="A139" s="12"/>
      <c r="B139" s="9" t="s">
        <v>337</v>
      </c>
      <c r="C139" s="3"/>
      <c r="D139" s="3"/>
      <c r="E139" s="42"/>
      <c r="F139" s="12"/>
    </row>
    <row r="140" outlineLevel="1">
      <c r="A140" s="12"/>
      <c r="B140" s="9" t="s">
        <v>338</v>
      </c>
      <c r="C140" s="3"/>
      <c r="D140" s="3"/>
      <c r="E140" s="42"/>
      <c r="F140" s="12"/>
    </row>
    <row r="141" outlineLevel="1">
      <c r="A141" s="12"/>
      <c r="B141" s="9" t="s">
        <v>339</v>
      </c>
      <c r="C141" s="3"/>
      <c r="D141" s="3"/>
      <c r="E141" s="42"/>
      <c r="F141" s="12"/>
    </row>
    <row r="142" outlineLevel="1">
      <c r="A142" s="12"/>
      <c r="B142" s="9" t="s">
        <v>340</v>
      </c>
      <c r="C142" s="3"/>
      <c r="D142" s="3"/>
      <c r="E142" s="42"/>
      <c r="F142" s="12"/>
    </row>
    <row r="143" collapsed="1">
      <c r="A143" s="16" t="s">
        <v>288</v>
      </c>
      <c r="B143" s="16" t="s">
        <v>53</v>
      </c>
      <c r="C143" s="16">
        <v>3.0</v>
      </c>
      <c r="D143" s="16">
        <v>30.0</v>
      </c>
      <c r="E143" s="40" t="s">
        <v>52</v>
      </c>
      <c r="F143" s="16">
        <v>3.0</v>
      </c>
    </row>
    <row r="144" hidden="1" outlineLevel="1">
      <c r="A144" s="21"/>
      <c r="B144" s="21" t="s">
        <v>210</v>
      </c>
      <c r="C144" s="21"/>
      <c r="D144" s="21"/>
      <c r="E144" s="41"/>
      <c r="F144" s="21"/>
    </row>
    <row r="145" hidden="1" outlineLevel="1">
      <c r="A145" s="21"/>
      <c r="B145" s="21" t="s">
        <v>240</v>
      </c>
      <c r="C145" s="21"/>
      <c r="D145" s="21"/>
      <c r="E145" s="41"/>
      <c r="F145" s="21"/>
    </row>
    <row r="146" hidden="1" outlineLevel="1">
      <c r="A146" s="21"/>
      <c r="B146" s="21" t="s">
        <v>241</v>
      </c>
      <c r="C146" s="21"/>
      <c r="D146" s="21"/>
      <c r="E146" s="41"/>
      <c r="F146" s="21"/>
    </row>
    <row r="147" hidden="1" outlineLevel="1">
      <c r="A147" s="21"/>
      <c r="B147" s="21" t="s">
        <v>242</v>
      </c>
      <c r="C147" s="21"/>
      <c r="D147" s="21"/>
      <c r="E147" s="41"/>
      <c r="F147" s="21"/>
    </row>
    <row r="148" hidden="1" outlineLevel="1">
      <c r="A148" s="21"/>
      <c r="B148" s="21" t="s">
        <v>243</v>
      </c>
      <c r="C148" s="21"/>
      <c r="D148" s="21"/>
      <c r="E148" s="41"/>
      <c r="F148" s="21"/>
    </row>
    <row r="149" hidden="1" outlineLevel="1">
      <c r="A149" s="21"/>
      <c r="B149" s="21" t="s">
        <v>244</v>
      </c>
      <c r="C149" s="21"/>
      <c r="D149" s="21"/>
      <c r="E149" s="41"/>
      <c r="F149" s="21"/>
    </row>
    <row r="150" hidden="1" outlineLevel="1">
      <c r="A150" s="21"/>
      <c r="B150" s="21" t="s">
        <v>245</v>
      </c>
      <c r="C150" s="21"/>
      <c r="D150" s="21"/>
      <c r="E150" s="41"/>
      <c r="F150" s="21"/>
    </row>
    <row r="151" hidden="1" outlineLevel="1">
      <c r="A151" s="21"/>
      <c r="B151" s="21" t="s">
        <v>246</v>
      </c>
      <c r="C151" s="21"/>
      <c r="D151" s="21"/>
      <c r="E151" s="41"/>
      <c r="F151" s="21"/>
    </row>
    <row r="152" hidden="1" outlineLevel="1">
      <c r="A152" s="21"/>
      <c r="B152" s="21" t="s">
        <v>247</v>
      </c>
      <c r="C152" s="21"/>
      <c r="D152" s="21"/>
      <c r="E152" s="41"/>
      <c r="F152" s="21"/>
    </row>
    <row r="153" hidden="1" outlineLevel="1">
      <c r="A153" s="21"/>
      <c r="B153" s="21" t="s">
        <v>248</v>
      </c>
      <c r="C153" s="21"/>
      <c r="D153" s="21"/>
      <c r="E153" s="41"/>
      <c r="F153" s="21"/>
    </row>
    <row r="154" hidden="1" outlineLevel="1">
      <c r="A154" s="21"/>
      <c r="B154" s="21" t="s">
        <v>249</v>
      </c>
      <c r="C154" s="21"/>
      <c r="D154" s="21"/>
      <c r="E154" s="41"/>
      <c r="F154" s="21"/>
    </row>
    <row r="155" hidden="1" outlineLevel="1">
      <c r="A155" s="21"/>
      <c r="B155" s="21" t="s">
        <v>250</v>
      </c>
      <c r="C155" s="21"/>
      <c r="D155" s="21"/>
      <c r="E155" s="41"/>
      <c r="F155" s="21"/>
    </row>
    <row r="156" hidden="1" outlineLevel="1">
      <c r="A156" s="21"/>
      <c r="B156" s="21" t="s">
        <v>251</v>
      </c>
      <c r="C156" s="21"/>
      <c r="D156" s="21"/>
      <c r="E156" s="41"/>
      <c r="F156" s="21"/>
    </row>
    <row r="157" hidden="1" outlineLevel="1">
      <c r="A157" s="21"/>
      <c r="B157" s="21" t="s">
        <v>252</v>
      </c>
      <c r="C157" s="21"/>
      <c r="D157" s="21"/>
      <c r="E157" s="41"/>
      <c r="F157" s="21"/>
    </row>
    <row r="158" collapsed="1">
      <c r="A158" s="16" t="s">
        <v>289</v>
      </c>
      <c r="B158" s="16" t="s">
        <v>257</v>
      </c>
      <c r="C158" s="16">
        <v>3.0</v>
      </c>
      <c r="D158" s="16">
        <v>20.0</v>
      </c>
      <c r="E158" s="40" t="s">
        <v>55</v>
      </c>
      <c r="F158" s="16">
        <v>3.0</v>
      </c>
      <c r="H158" s="64" t="s">
        <v>988</v>
      </c>
    </row>
    <row r="159" hidden="1" outlineLevel="1">
      <c r="A159" s="21"/>
      <c r="B159" s="21" t="s">
        <v>258</v>
      </c>
      <c r="C159" s="21"/>
      <c r="D159" s="21"/>
      <c r="E159" s="41"/>
      <c r="F159" s="21"/>
    </row>
    <row r="160" hidden="1" outlineLevel="1">
      <c r="A160" s="21"/>
      <c r="B160" s="21" t="s">
        <v>259</v>
      </c>
      <c r="C160" s="21"/>
      <c r="D160" s="21"/>
      <c r="E160" s="41"/>
      <c r="F160" s="21"/>
    </row>
    <row r="161" hidden="1" outlineLevel="1">
      <c r="A161" s="21"/>
      <c r="B161" s="21" t="s">
        <v>260</v>
      </c>
      <c r="C161" s="21"/>
      <c r="D161" s="21"/>
      <c r="E161" s="41"/>
      <c r="F161" s="21"/>
    </row>
    <row r="162" hidden="1" outlineLevel="1">
      <c r="A162" s="21"/>
      <c r="B162" s="21" t="s">
        <v>261</v>
      </c>
      <c r="C162" s="21"/>
      <c r="D162" s="21"/>
      <c r="E162" s="41"/>
      <c r="F162" s="21"/>
    </row>
    <row r="163" hidden="1" outlineLevel="1">
      <c r="A163" s="21"/>
      <c r="B163" s="21" t="s">
        <v>262</v>
      </c>
      <c r="C163" s="21"/>
      <c r="D163" s="21"/>
      <c r="E163" s="41"/>
      <c r="F163" s="21"/>
    </row>
    <row r="164" hidden="1" outlineLevel="1">
      <c r="A164" s="21"/>
      <c r="B164" s="21" t="s">
        <v>263</v>
      </c>
      <c r="C164" s="21"/>
      <c r="D164" s="21"/>
      <c r="E164" s="41"/>
      <c r="F164" s="21"/>
    </row>
    <row r="165" hidden="1" outlineLevel="1">
      <c r="A165" s="21"/>
      <c r="B165" s="21" t="s">
        <v>264</v>
      </c>
      <c r="C165" s="21"/>
      <c r="D165" s="21"/>
      <c r="E165" s="41"/>
      <c r="F165" s="21"/>
    </row>
    <row r="166" collapsed="1">
      <c r="A166" s="16" t="s">
        <v>299</v>
      </c>
      <c r="B166" s="16" t="s">
        <v>265</v>
      </c>
      <c r="C166" s="16">
        <v>3.0</v>
      </c>
      <c r="D166" s="16">
        <v>15.0</v>
      </c>
      <c r="E166" s="40" t="s">
        <v>55</v>
      </c>
      <c r="F166" s="16">
        <v>3.0</v>
      </c>
    </row>
    <row r="167" hidden="1" outlineLevel="1">
      <c r="A167" s="21"/>
      <c r="B167" s="21" t="s">
        <v>266</v>
      </c>
      <c r="C167" s="21"/>
      <c r="D167" s="21"/>
      <c r="E167" s="41"/>
      <c r="F167" s="21"/>
    </row>
    <row r="168" hidden="1" outlineLevel="1">
      <c r="A168" s="21"/>
      <c r="B168" s="21" t="s">
        <v>267</v>
      </c>
      <c r="C168" s="21"/>
      <c r="D168" s="21"/>
      <c r="E168" s="41"/>
      <c r="F168" s="21"/>
    </row>
    <row r="169" collapsed="1">
      <c r="A169" s="16" t="s">
        <v>300</v>
      </c>
      <c r="B169" s="16" t="s">
        <v>268</v>
      </c>
      <c r="C169" s="16">
        <v>3.0</v>
      </c>
      <c r="D169" s="16">
        <v>15.0</v>
      </c>
      <c r="E169" s="40" t="s">
        <v>55</v>
      </c>
      <c r="F169" s="16">
        <v>3.0</v>
      </c>
    </row>
    <row r="170" hidden="1" outlineLevel="1">
      <c r="A170" s="21"/>
      <c r="B170" s="21" t="s">
        <v>269</v>
      </c>
      <c r="C170" s="21"/>
      <c r="D170" s="21"/>
      <c r="E170" s="41"/>
      <c r="F170" s="21"/>
    </row>
    <row r="171" hidden="1" outlineLevel="1">
      <c r="A171" s="21"/>
      <c r="B171" s="21" t="s">
        <v>270</v>
      </c>
      <c r="C171" s="21"/>
      <c r="D171" s="21"/>
      <c r="E171" s="41"/>
      <c r="F171" s="21"/>
    </row>
    <row r="172" collapsed="1">
      <c r="A172" s="16" t="s">
        <v>304</v>
      </c>
      <c r="B172" s="16" t="s">
        <v>975</v>
      </c>
      <c r="C172" s="16">
        <v>3.0</v>
      </c>
      <c r="D172" s="16">
        <v>10.0</v>
      </c>
      <c r="E172" s="40" t="s">
        <v>55</v>
      </c>
      <c r="F172" s="16">
        <v>3.0</v>
      </c>
    </row>
    <row r="173" hidden="1" outlineLevel="1">
      <c r="A173" s="21"/>
      <c r="B173" s="21" t="s">
        <v>272</v>
      </c>
      <c r="C173" s="21"/>
      <c r="D173" s="21"/>
      <c r="E173" s="41"/>
      <c r="F173" s="21"/>
    </row>
    <row r="174" hidden="1" outlineLevel="1">
      <c r="A174" s="21"/>
      <c r="B174" s="21" t="s">
        <v>273</v>
      </c>
      <c r="C174" s="21"/>
      <c r="D174" s="21"/>
      <c r="E174" s="41"/>
      <c r="F174" s="21"/>
    </row>
    <row r="175" collapsed="1">
      <c r="A175" s="16" t="s">
        <v>308</v>
      </c>
      <c r="B175" s="16" t="s">
        <v>275</v>
      </c>
      <c r="C175" s="16">
        <v>3.0</v>
      </c>
      <c r="D175" s="16">
        <v>15.0</v>
      </c>
      <c r="E175" s="40" t="s">
        <v>55</v>
      </c>
      <c r="F175" s="16">
        <v>3.0</v>
      </c>
    </row>
    <row r="176" hidden="1" outlineLevel="1">
      <c r="A176" s="21"/>
      <c r="B176" s="21" t="s">
        <v>276</v>
      </c>
      <c r="C176" s="21"/>
      <c r="D176" s="21"/>
      <c r="E176" s="41"/>
      <c r="F176" s="21"/>
    </row>
    <row r="177" hidden="1" outlineLevel="1">
      <c r="A177" s="21"/>
      <c r="B177" s="21" t="s">
        <v>277</v>
      </c>
      <c r="C177" s="21"/>
      <c r="D177" s="21"/>
      <c r="E177" s="41"/>
      <c r="F177" s="21"/>
    </row>
    <row r="178" hidden="1" outlineLevel="1">
      <c r="A178" s="21"/>
      <c r="B178" s="21" t="s">
        <v>278</v>
      </c>
      <c r="C178" s="21"/>
      <c r="D178" s="21"/>
      <c r="E178" s="41"/>
      <c r="F178" s="21"/>
    </row>
    <row r="179" hidden="1" outlineLevel="1">
      <c r="A179" s="21"/>
      <c r="B179" s="21" t="s">
        <v>279</v>
      </c>
      <c r="C179" s="21"/>
      <c r="D179" s="21"/>
      <c r="E179" s="41"/>
      <c r="F179" s="21"/>
    </row>
    <row r="180" hidden="1" outlineLevel="1">
      <c r="A180" s="21"/>
      <c r="B180" s="21" t="s">
        <v>280</v>
      </c>
      <c r="C180" s="21"/>
      <c r="D180" s="21"/>
      <c r="E180" s="41"/>
      <c r="F180" s="21"/>
    </row>
    <row r="181">
      <c r="A181" s="16" t="s">
        <v>314</v>
      </c>
      <c r="B181" s="16" t="s">
        <v>347</v>
      </c>
      <c r="C181" s="16">
        <v>3.0</v>
      </c>
      <c r="D181" s="16">
        <v>20.0</v>
      </c>
      <c r="E181" s="40" t="s">
        <v>57</v>
      </c>
      <c r="F181" s="16">
        <v>3.0</v>
      </c>
    </row>
    <row r="182" collapsed="1">
      <c r="A182" s="16" t="s">
        <v>318</v>
      </c>
      <c r="B182" s="16" t="s">
        <v>343</v>
      </c>
      <c r="C182" s="16">
        <v>3.0</v>
      </c>
      <c r="D182" s="16">
        <v>20.0</v>
      </c>
      <c r="E182" s="40" t="s">
        <v>172</v>
      </c>
      <c r="F182" s="16">
        <v>3.0</v>
      </c>
    </row>
    <row r="183" hidden="1" outlineLevel="1">
      <c r="A183" s="21"/>
      <c r="B183" s="21" t="s">
        <v>290</v>
      </c>
      <c r="C183" s="21"/>
      <c r="D183" s="21"/>
      <c r="E183" s="41"/>
      <c r="F183" s="21"/>
    </row>
    <row r="184" hidden="1" outlineLevel="1">
      <c r="A184" s="21"/>
      <c r="B184" s="21" t="s">
        <v>291</v>
      </c>
      <c r="C184" s="21"/>
      <c r="D184" s="21"/>
      <c r="E184" s="41"/>
      <c r="F184" s="21"/>
    </row>
    <row r="185" hidden="1" outlineLevel="1">
      <c r="A185" s="21"/>
      <c r="B185" s="21" t="s">
        <v>292</v>
      </c>
      <c r="C185" s="21"/>
      <c r="D185" s="21"/>
      <c r="E185" s="41"/>
      <c r="F185" s="21"/>
    </row>
    <row r="186" hidden="1" outlineLevel="1">
      <c r="A186" s="21"/>
      <c r="B186" s="21" t="s">
        <v>293</v>
      </c>
      <c r="C186" s="21"/>
      <c r="D186" s="21"/>
      <c r="E186" s="41"/>
      <c r="F186" s="21"/>
    </row>
    <row r="187" collapsed="1">
      <c r="A187" s="16" t="s">
        <v>323</v>
      </c>
      <c r="B187" s="16" t="s">
        <v>342</v>
      </c>
      <c r="C187" s="16">
        <v>3.0</v>
      </c>
      <c r="D187" s="16">
        <v>20.0</v>
      </c>
      <c r="E187" s="40" t="s">
        <v>172</v>
      </c>
      <c r="F187" s="16">
        <v>3.0</v>
      </c>
    </row>
    <row r="188" hidden="1" outlineLevel="1">
      <c r="A188" s="21"/>
      <c r="B188" s="21" t="s">
        <v>294</v>
      </c>
      <c r="C188" s="21"/>
      <c r="D188" s="21"/>
      <c r="E188" s="41"/>
      <c r="F188" s="21"/>
    </row>
    <row r="189" hidden="1" outlineLevel="1">
      <c r="A189" s="21"/>
      <c r="B189" s="21" t="s">
        <v>295</v>
      </c>
      <c r="C189" s="21"/>
      <c r="D189" s="21"/>
      <c r="E189" s="41"/>
      <c r="F189" s="21"/>
    </row>
    <row r="190" hidden="1" outlineLevel="1">
      <c r="A190" s="21"/>
      <c r="B190" s="21" t="s">
        <v>296</v>
      </c>
      <c r="C190" s="21"/>
      <c r="D190" s="21"/>
      <c r="E190" s="41"/>
      <c r="F190" s="21"/>
    </row>
    <row r="191" hidden="1" outlineLevel="1">
      <c r="A191" s="21"/>
      <c r="B191" s="21" t="s">
        <v>297</v>
      </c>
      <c r="C191" s="21"/>
      <c r="D191" s="21"/>
      <c r="E191" s="41"/>
      <c r="F191" s="21"/>
    </row>
    <row r="192" hidden="1" outlineLevel="1">
      <c r="A192" s="21"/>
      <c r="B192" s="21" t="s">
        <v>298</v>
      </c>
      <c r="C192" s="21"/>
      <c r="D192" s="21"/>
      <c r="E192" s="41"/>
      <c r="F192" s="21"/>
    </row>
    <row r="193" collapsed="1">
      <c r="A193" s="16" t="s">
        <v>329</v>
      </c>
      <c r="B193" s="16" t="s">
        <v>301</v>
      </c>
      <c r="C193" s="16">
        <v>3.0</v>
      </c>
      <c r="D193" s="16">
        <v>30.0</v>
      </c>
      <c r="E193" s="40" t="s">
        <v>58</v>
      </c>
      <c r="F193" s="16">
        <v>3.0</v>
      </c>
    </row>
    <row r="194" hidden="1" outlineLevel="1">
      <c r="A194" s="21"/>
      <c r="B194" s="21" t="s">
        <v>302</v>
      </c>
      <c r="C194" s="21"/>
      <c r="D194" s="21"/>
      <c r="E194" s="41"/>
      <c r="F194" s="21"/>
    </row>
    <row r="195" hidden="1" outlineLevel="1">
      <c r="A195" s="21"/>
      <c r="B195" s="21" t="s">
        <v>303</v>
      </c>
      <c r="C195" s="21"/>
      <c r="D195" s="21"/>
      <c r="E195" s="41"/>
      <c r="F195" s="21"/>
    </row>
    <row r="196" collapsed="1">
      <c r="A196" s="16" t="s">
        <v>332</v>
      </c>
      <c r="B196" s="16" t="s">
        <v>305</v>
      </c>
      <c r="C196" s="16">
        <v>3.0</v>
      </c>
      <c r="D196" s="16">
        <v>15.0</v>
      </c>
      <c r="E196" s="40" t="s">
        <v>172</v>
      </c>
      <c r="F196" s="16">
        <v>3.0</v>
      </c>
    </row>
    <row r="197" hidden="1" outlineLevel="1">
      <c r="A197" s="21"/>
      <c r="B197" s="21" t="s">
        <v>306</v>
      </c>
      <c r="C197" s="21"/>
      <c r="D197" s="21"/>
      <c r="E197" s="41"/>
      <c r="F197" s="21"/>
    </row>
    <row r="198" hidden="1" outlineLevel="1">
      <c r="A198" s="21"/>
      <c r="B198" s="21" t="s">
        <v>307</v>
      </c>
      <c r="C198" s="21"/>
      <c r="D198" s="21"/>
      <c r="E198" s="41"/>
      <c r="F198" s="21"/>
    </row>
    <row r="199" collapsed="1">
      <c r="A199" s="16" t="s">
        <v>348</v>
      </c>
      <c r="B199" s="16" t="s">
        <v>324</v>
      </c>
      <c r="C199" s="16">
        <v>3.0</v>
      </c>
      <c r="D199" s="16">
        <v>15.0</v>
      </c>
      <c r="E199" s="40" t="s">
        <v>172</v>
      </c>
      <c r="F199" s="16">
        <v>3.0</v>
      </c>
    </row>
    <row r="200" hidden="1" outlineLevel="1">
      <c r="A200" s="12"/>
      <c r="B200" s="9" t="s">
        <v>325</v>
      </c>
      <c r="C200" s="3"/>
      <c r="D200" s="3"/>
      <c r="E200" s="42"/>
      <c r="F200" s="12"/>
    </row>
    <row r="201" hidden="1" outlineLevel="1">
      <c r="A201" s="12"/>
      <c r="B201" s="9" t="s">
        <v>326</v>
      </c>
      <c r="C201" s="3"/>
      <c r="D201" s="3"/>
      <c r="E201" s="42"/>
      <c r="F201" s="12"/>
    </row>
    <row r="202" hidden="1" outlineLevel="1">
      <c r="A202" s="12"/>
      <c r="B202" s="9" t="s">
        <v>327</v>
      </c>
      <c r="C202" s="3"/>
      <c r="D202" s="3"/>
      <c r="E202" s="42"/>
      <c r="F202" s="12"/>
    </row>
    <row r="203" hidden="1" outlineLevel="1">
      <c r="A203" s="12"/>
      <c r="B203" s="9" t="s">
        <v>328</v>
      </c>
      <c r="C203" s="3"/>
      <c r="D203" s="3"/>
      <c r="E203" s="42"/>
      <c r="F203" s="12"/>
    </row>
    <row r="204">
      <c r="A204" s="3"/>
      <c r="B204" s="3"/>
      <c r="C204" s="3"/>
      <c r="D204" s="3"/>
      <c r="E204" s="42"/>
      <c r="F204" s="12"/>
    </row>
    <row r="205">
      <c r="A205" s="3"/>
      <c r="B205" s="4" t="s">
        <v>61</v>
      </c>
      <c r="C205" s="4">
        <f>SUM(C206:C223)</f>
        <v>9.0</v>
      </c>
      <c r="D205" s="4">
        <f>SUM(D206:D223)</f>
        <v>90.0</v>
      </c>
      <c r="E205" s="42"/>
      <c r="F205" s="12"/>
    </row>
    <row r="206" collapsed="1">
      <c r="A206" s="3" t="s">
        <v>62</v>
      </c>
      <c r="B206" s="8" t="s">
        <v>19</v>
      </c>
      <c r="C206" s="3">
        <v>2.0</v>
      </c>
      <c r="D206" s="3">
        <v>20.0</v>
      </c>
      <c r="E206" s="42"/>
      <c r="F206" s="12"/>
      <c r="H206" s="64" t="s">
        <v>987</v>
      </c>
    </row>
    <row r="207" hidden="1" outlineLevel="1">
      <c r="A207" s="3"/>
      <c r="B207" s="7" t="s">
        <v>63</v>
      </c>
      <c r="C207" s="3"/>
      <c r="D207" s="3"/>
      <c r="E207" s="42"/>
      <c r="F207" s="12"/>
    </row>
    <row r="208" hidden="1" outlineLevel="1">
      <c r="A208" s="3"/>
      <c r="B208" s="7" t="s">
        <v>64</v>
      </c>
      <c r="C208" s="3"/>
      <c r="D208" s="3"/>
      <c r="E208" s="42"/>
      <c r="F208" s="12"/>
    </row>
    <row r="209" hidden="1" outlineLevel="1">
      <c r="A209" s="3"/>
      <c r="B209" s="7" t="s">
        <v>65</v>
      </c>
      <c r="C209" s="3"/>
      <c r="D209" s="3"/>
      <c r="E209" s="42"/>
      <c r="F209" s="12"/>
    </row>
    <row r="210" hidden="1" outlineLevel="1">
      <c r="A210" s="3"/>
      <c r="B210" s="7" t="s">
        <v>66</v>
      </c>
      <c r="C210" s="3"/>
      <c r="D210" s="3"/>
      <c r="E210" s="42"/>
      <c r="F210" s="12"/>
    </row>
    <row r="211" hidden="1" outlineLevel="1">
      <c r="A211" s="3"/>
      <c r="B211" s="7" t="s">
        <v>67</v>
      </c>
      <c r="C211" s="3"/>
      <c r="D211" s="3"/>
      <c r="E211" s="42"/>
      <c r="F211" s="12"/>
    </row>
    <row r="212" collapsed="1">
      <c r="A212" s="3" t="s">
        <v>68</v>
      </c>
      <c r="B212" s="3" t="s">
        <v>69</v>
      </c>
      <c r="C212" s="3">
        <v>2.0</v>
      </c>
      <c r="D212" s="3">
        <v>20.0</v>
      </c>
      <c r="E212" s="43"/>
      <c r="F212" s="12"/>
    </row>
    <row r="213" hidden="1" outlineLevel="1">
      <c r="A213" s="3"/>
      <c r="B213" s="9" t="s">
        <v>70</v>
      </c>
      <c r="C213" s="3"/>
      <c r="D213" s="3"/>
      <c r="E213" s="43"/>
      <c r="F213" s="12"/>
    </row>
    <row r="214" hidden="1" outlineLevel="1">
      <c r="A214" s="3"/>
      <c r="B214" s="9" t="s">
        <v>71</v>
      </c>
      <c r="C214" s="3"/>
      <c r="D214" s="3"/>
      <c r="E214" s="43"/>
      <c r="F214" s="12"/>
    </row>
    <row r="215" hidden="1" outlineLevel="1">
      <c r="A215" s="3"/>
      <c r="B215" s="9" t="s">
        <v>72</v>
      </c>
      <c r="C215" s="3"/>
      <c r="D215" s="3"/>
      <c r="E215" s="43"/>
      <c r="F215" s="12"/>
    </row>
    <row r="216" collapsed="1">
      <c r="A216" s="3" t="s">
        <v>73</v>
      </c>
      <c r="B216" s="3" t="s">
        <v>74</v>
      </c>
      <c r="C216" s="3">
        <v>2.0</v>
      </c>
      <c r="D216" s="3">
        <v>20.0</v>
      </c>
      <c r="E216" s="43"/>
      <c r="F216" s="12"/>
    </row>
    <row r="217" hidden="1" outlineLevel="1">
      <c r="A217" s="3"/>
      <c r="B217" s="9" t="s">
        <v>75</v>
      </c>
      <c r="C217" s="3"/>
      <c r="D217" s="3"/>
      <c r="E217" s="43"/>
      <c r="F217" s="12"/>
    </row>
    <row r="218" hidden="1" outlineLevel="1">
      <c r="A218" s="3"/>
      <c r="B218" s="9" t="s">
        <v>76</v>
      </c>
      <c r="C218" s="3"/>
      <c r="D218" s="3"/>
      <c r="E218" s="42"/>
      <c r="F218" s="12"/>
    </row>
    <row r="219" hidden="1" outlineLevel="1">
      <c r="A219" s="3"/>
      <c r="B219" s="9" t="s">
        <v>77</v>
      </c>
      <c r="C219" s="3"/>
      <c r="D219" s="3"/>
      <c r="E219" s="42"/>
      <c r="F219" s="12"/>
    </row>
    <row r="220" collapsed="1">
      <c r="A220" s="3" t="s">
        <v>78</v>
      </c>
      <c r="B220" s="5" t="s">
        <v>79</v>
      </c>
      <c r="C220" s="3">
        <v>1.0</v>
      </c>
      <c r="D220" s="3">
        <v>15.0</v>
      </c>
      <c r="E220" s="42"/>
      <c r="F220" s="12"/>
      <c r="G220" s="63" t="s">
        <v>984</v>
      </c>
    </row>
    <row r="221" hidden="1" outlineLevel="1">
      <c r="A221" s="3"/>
      <c r="B221" s="7" t="s">
        <v>80</v>
      </c>
      <c r="C221" s="3"/>
      <c r="D221" s="3"/>
      <c r="E221" s="42"/>
      <c r="F221" s="12"/>
    </row>
    <row r="222" hidden="1" outlineLevel="1">
      <c r="A222" s="3"/>
      <c r="B222" s="7" t="s">
        <v>81</v>
      </c>
      <c r="C222" s="3"/>
      <c r="D222" s="3"/>
      <c r="E222" s="42"/>
      <c r="F222" s="12"/>
    </row>
    <row r="223" collapsed="1">
      <c r="A223" s="3" t="s">
        <v>82</v>
      </c>
      <c r="B223" s="10" t="s">
        <v>83</v>
      </c>
      <c r="C223" s="3">
        <v>2.0</v>
      </c>
      <c r="D223" s="3">
        <v>15.0</v>
      </c>
      <c r="E223" s="42"/>
      <c r="F223" s="12"/>
      <c r="H223" s="64" t="s">
        <v>987</v>
      </c>
    </row>
    <row r="224" hidden="1" outlineLevel="1">
      <c r="A224" s="3"/>
      <c r="B224" s="7" t="s">
        <v>84</v>
      </c>
      <c r="C224" s="3"/>
      <c r="D224" s="3"/>
      <c r="E224" s="42"/>
      <c r="F224" s="12"/>
    </row>
    <row r="225" hidden="1" outlineLevel="1">
      <c r="A225" s="3"/>
      <c r="B225" s="7" t="s">
        <v>85</v>
      </c>
      <c r="C225" s="3"/>
      <c r="D225" s="3"/>
      <c r="E225" s="42"/>
      <c r="F225" s="12"/>
    </row>
    <row r="226" hidden="1" outlineLevel="1">
      <c r="A226" s="3"/>
      <c r="B226" s="7" t="s">
        <v>86</v>
      </c>
      <c r="C226" s="3"/>
      <c r="D226" s="3"/>
      <c r="E226" s="42"/>
      <c r="F226" s="12"/>
    </row>
    <row r="227" hidden="1" outlineLevel="1">
      <c r="A227" s="3"/>
      <c r="B227" s="7" t="s">
        <v>87</v>
      </c>
      <c r="C227" s="3"/>
      <c r="D227" s="3"/>
      <c r="E227" s="43"/>
      <c r="F227" s="12"/>
    </row>
    <row r="228" hidden="1" outlineLevel="1">
      <c r="A228" s="3"/>
      <c r="B228" s="7" t="s">
        <v>88</v>
      </c>
      <c r="C228" s="3"/>
      <c r="D228" s="3"/>
      <c r="E228" s="42"/>
      <c r="F228" s="12"/>
    </row>
    <row r="229">
      <c r="A229" s="3"/>
      <c r="B229" s="3"/>
      <c r="C229" s="3"/>
      <c r="D229" s="3"/>
      <c r="E229" s="42"/>
      <c r="F229" s="12"/>
    </row>
    <row r="230">
      <c r="A230" s="3"/>
      <c r="B230" s="4" t="s">
        <v>89</v>
      </c>
      <c r="C230" s="4">
        <f>SUM(C231:C265)</f>
        <v>13.0</v>
      </c>
      <c r="D230" s="4">
        <f>SUM(D231:D265)</f>
        <v>120.0</v>
      </c>
      <c r="E230" s="42"/>
      <c r="F230" s="12"/>
    </row>
    <row r="231">
      <c r="A231" s="3" t="s">
        <v>90</v>
      </c>
      <c r="B231" s="5" t="s">
        <v>91</v>
      </c>
      <c r="C231" s="3">
        <v>1.0</v>
      </c>
      <c r="D231" s="3">
        <v>10.0</v>
      </c>
      <c r="E231" s="42"/>
      <c r="F231" s="12"/>
      <c r="G231" s="63" t="s">
        <v>984</v>
      </c>
    </row>
    <row r="232" collapsed="1">
      <c r="A232" s="3" t="s">
        <v>92</v>
      </c>
      <c r="B232" s="5" t="s">
        <v>93</v>
      </c>
      <c r="C232" s="3">
        <v>1.0</v>
      </c>
      <c r="D232" s="3">
        <v>10.0</v>
      </c>
      <c r="E232" s="43"/>
      <c r="F232" s="12"/>
      <c r="G232" s="63" t="s">
        <v>984</v>
      </c>
    </row>
    <row r="233" hidden="1" outlineLevel="1">
      <c r="A233" s="3"/>
      <c r="B233" s="7" t="s">
        <v>94</v>
      </c>
      <c r="C233" s="3"/>
      <c r="D233" s="3"/>
      <c r="E233" s="42"/>
      <c r="F233" s="12"/>
    </row>
    <row r="234" hidden="1" outlineLevel="1">
      <c r="A234" s="3"/>
      <c r="B234" s="7" t="s">
        <v>95</v>
      </c>
      <c r="C234" s="3"/>
      <c r="D234" s="3"/>
      <c r="E234" s="42"/>
      <c r="F234" s="12"/>
    </row>
    <row r="235" hidden="1" outlineLevel="1">
      <c r="A235" s="3"/>
      <c r="B235" s="7" t="s">
        <v>96</v>
      </c>
      <c r="C235" s="3"/>
      <c r="D235" s="3"/>
      <c r="E235" s="42"/>
      <c r="F235" s="12"/>
    </row>
    <row r="236" hidden="1" outlineLevel="1">
      <c r="A236" s="3"/>
      <c r="B236" s="7" t="s">
        <v>97</v>
      </c>
      <c r="C236" s="3"/>
      <c r="D236" s="3"/>
      <c r="E236" s="42"/>
      <c r="F236" s="12"/>
    </row>
    <row r="237" hidden="1" outlineLevel="1">
      <c r="A237" s="3"/>
      <c r="B237" s="7" t="s">
        <v>98</v>
      </c>
      <c r="C237" s="3"/>
      <c r="D237" s="3"/>
      <c r="E237" s="42"/>
      <c r="F237" s="12"/>
    </row>
    <row r="238" collapsed="1">
      <c r="A238" s="3" t="s">
        <v>99</v>
      </c>
      <c r="B238" s="3" t="s">
        <v>100</v>
      </c>
      <c r="C238" s="3">
        <v>2.0</v>
      </c>
      <c r="D238" s="3">
        <v>10.0</v>
      </c>
      <c r="E238" s="42"/>
      <c r="F238" s="12"/>
    </row>
    <row r="239" hidden="1" outlineLevel="1">
      <c r="A239" s="3"/>
      <c r="B239" s="9" t="s">
        <v>101</v>
      </c>
      <c r="C239" s="3"/>
      <c r="D239" s="3"/>
      <c r="E239" s="42"/>
      <c r="F239" s="12"/>
    </row>
    <row r="240" hidden="1" outlineLevel="1">
      <c r="A240" s="3"/>
      <c r="B240" s="9" t="s">
        <v>102</v>
      </c>
      <c r="C240" s="3"/>
      <c r="D240" s="3"/>
      <c r="E240" s="42"/>
      <c r="F240" s="12"/>
    </row>
    <row r="241" collapsed="1">
      <c r="A241" s="3" t="s">
        <v>103</v>
      </c>
      <c r="B241" s="5" t="s">
        <v>104</v>
      </c>
      <c r="C241" s="3">
        <v>1.0</v>
      </c>
      <c r="D241" s="3">
        <v>10.0</v>
      </c>
      <c r="E241" s="42"/>
      <c r="F241" s="12"/>
      <c r="G241" s="63" t="s">
        <v>984</v>
      </c>
    </row>
    <row r="242" hidden="1" outlineLevel="1">
      <c r="A242" s="3"/>
      <c r="B242" s="7" t="s">
        <v>105</v>
      </c>
      <c r="C242" s="3"/>
      <c r="D242" s="3"/>
      <c r="E242" s="42"/>
      <c r="F242" s="12"/>
    </row>
    <row r="243" hidden="1" outlineLevel="1">
      <c r="A243" s="3"/>
      <c r="B243" s="7" t="s">
        <v>106</v>
      </c>
      <c r="C243" s="3"/>
      <c r="D243" s="3"/>
      <c r="E243" s="42"/>
      <c r="F243" s="12"/>
    </row>
    <row r="244" hidden="1" outlineLevel="1">
      <c r="A244" s="3"/>
      <c r="B244" s="7" t="s">
        <v>107</v>
      </c>
      <c r="C244" s="3"/>
      <c r="D244" s="3"/>
      <c r="E244" s="42"/>
      <c r="F244" s="12"/>
    </row>
    <row r="245" hidden="1" outlineLevel="1">
      <c r="A245" s="3"/>
      <c r="B245" s="7" t="s">
        <v>108</v>
      </c>
      <c r="C245" s="3"/>
      <c r="D245" s="3"/>
      <c r="E245" s="43"/>
      <c r="F245" s="12"/>
    </row>
    <row r="246" hidden="1" outlineLevel="1">
      <c r="A246" s="3"/>
      <c r="B246" s="7" t="s">
        <v>109</v>
      </c>
      <c r="C246" s="3"/>
      <c r="D246" s="3"/>
      <c r="E246" s="42"/>
      <c r="F246" s="12"/>
    </row>
    <row r="247" collapsed="1">
      <c r="A247" s="3" t="s">
        <v>110</v>
      </c>
      <c r="B247" s="3" t="s">
        <v>111</v>
      </c>
      <c r="C247" s="3">
        <v>2.0</v>
      </c>
      <c r="D247" s="3">
        <v>15.0</v>
      </c>
      <c r="E247" s="42"/>
      <c r="F247" s="12"/>
    </row>
    <row r="248" hidden="1" outlineLevel="1">
      <c r="A248" s="3"/>
      <c r="B248" s="9" t="s">
        <v>112</v>
      </c>
      <c r="C248" s="3"/>
      <c r="D248" s="3"/>
      <c r="E248" s="42"/>
      <c r="F248" s="12"/>
    </row>
    <row r="249" hidden="1" outlineLevel="1">
      <c r="A249" s="3"/>
      <c r="B249" s="9" t="s">
        <v>113</v>
      </c>
      <c r="C249" s="3"/>
      <c r="D249" s="3"/>
      <c r="E249" s="42"/>
      <c r="F249" s="12"/>
    </row>
    <row r="250" hidden="1" outlineLevel="1">
      <c r="A250" s="3"/>
      <c r="B250" s="9" t="s">
        <v>114</v>
      </c>
      <c r="C250" s="3"/>
      <c r="D250" s="3"/>
      <c r="E250" s="43"/>
      <c r="F250" s="12"/>
    </row>
    <row r="251" collapsed="1">
      <c r="A251" s="3" t="s">
        <v>115</v>
      </c>
      <c r="B251" s="5" t="s">
        <v>116</v>
      </c>
      <c r="C251" s="3">
        <v>2.0</v>
      </c>
      <c r="D251" s="3">
        <v>20.0</v>
      </c>
      <c r="E251" s="42"/>
      <c r="F251" s="12"/>
      <c r="G251" s="63" t="s">
        <v>984</v>
      </c>
    </row>
    <row r="252" hidden="1" outlineLevel="1">
      <c r="A252" s="3"/>
      <c r="B252" s="7" t="s">
        <v>117</v>
      </c>
      <c r="C252" s="3"/>
      <c r="D252" s="3"/>
      <c r="E252" s="42"/>
      <c r="F252" s="12"/>
    </row>
    <row r="253" hidden="1" outlineLevel="1">
      <c r="A253" s="3"/>
      <c r="B253" s="7" t="s">
        <v>118</v>
      </c>
      <c r="C253" s="3"/>
      <c r="D253" s="3"/>
      <c r="E253" s="43"/>
      <c r="F253" s="12"/>
    </row>
    <row r="254" hidden="1" outlineLevel="1">
      <c r="A254" s="3"/>
      <c r="B254" s="7" t="s">
        <v>119</v>
      </c>
      <c r="C254" s="3"/>
      <c r="D254" s="3"/>
      <c r="E254" s="42"/>
      <c r="F254" s="12"/>
    </row>
    <row r="255" hidden="1" outlineLevel="1">
      <c r="A255" s="3"/>
      <c r="B255" s="7" t="s">
        <v>120</v>
      </c>
      <c r="C255" s="3"/>
      <c r="D255" s="3"/>
      <c r="E255" s="42"/>
      <c r="F255" s="12"/>
    </row>
    <row r="256" hidden="1" outlineLevel="1">
      <c r="A256" s="3"/>
      <c r="B256" s="7" t="s">
        <v>121</v>
      </c>
      <c r="C256" s="3"/>
      <c r="D256" s="3"/>
      <c r="E256" s="42"/>
      <c r="F256" s="12"/>
    </row>
    <row r="257" hidden="1" outlineLevel="1">
      <c r="A257" s="3"/>
      <c r="B257" s="7" t="s">
        <v>122</v>
      </c>
      <c r="C257" s="3"/>
      <c r="D257" s="3"/>
      <c r="E257" s="42"/>
      <c r="F257" s="12"/>
    </row>
    <row r="258" collapsed="1">
      <c r="A258" s="3" t="s">
        <v>123</v>
      </c>
      <c r="B258" s="3" t="s">
        <v>124</v>
      </c>
      <c r="C258" s="3">
        <v>2.0</v>
      </c>
      <c r="D258" s="3">
        <v>25.0</v>
      </c>
      <c r="E258" s="42"/>
      <c r="F258" s="12"/>
    </row>
    <row r="259" hidden="1" outlineLevel="1">
      <c r="A259" s="3"/>
      <c r="B259" s="9" t="s">
        <v>125</v>
      </c>
      <c r="C259" s="3"/>
      <c r="D259" s="3"/>
      <c r="E259" s="42"/>
      <c r="F259" s="12"/>
    </row>
    <row r="260" hidden="1" outlineLevel="1">
      <c r="A260" s="3"/>
      <c r="B260" s="9" t="s">
        <v>126</v>
      </c>
      <c r="C260" s="3"/>
      <c r="D260" s="3"/>
      <c r="E260" s="42"/>
      <c r="F260" s="12"/>
    </row>
    <row r="261" hidden="1" outlineLevel="1">
      <c r="A261" s="3"/>
      <c r="B261" s="9" t="s">
        <v>127</v>
      </c>
      <c r="C261" s="3"/>
      <c r="D261" s="3"/>
      <c r="E261" s="42"/>
      <c r="F261" s="12"/>
    </row>
    <row r="262" hidden="1" outlineLevel="1">
      <c r="A262" s="3"/>
      <c r="B262" s="9" t="s">
        <v>128</v>
      </c>
      <c r="C262" s="3"/>
      <c r="D262" s="3"/>
      <c r="E262" s="42"/>
      <c r="F262" s="12"/>
    </row>
    <row r="263" hidden="1" outlineLevel="1">
      <c r="A263" s="3"/>
      <c r="B263" s="9" t="s">
        <v>129</v>
      </c>
      <c r="C263" s="3"/>
      <c r="D263" s="3"/>
      <c r="E263" s="42"/>
      <c r="F263" s="12"/>
    </row>
    <row r="264" hidden="1" outlineLevel="1">
      <c r="A264" s="3"/>
      <c r="B264" s="9" t="s">
        <v>130</v>
      </c>
      <c r="C264" s="3"/>
      <c r="D264" s="3"/>
      <c r="E264" s="42"/>
      <c r="F264" s="12"/>
    </row>
    <row r="265" collapsed="1">
      <c r="A265" s="3" t="s">
        <v>131</v>
      </c>
      <c r="B265" s="3" t="s">
        <v>132</v>
      </c>
      <c r="C265" s="3">
        <v>2.0</v>
      </c>
      <c r="D265" s="3">
        <v>20.0</v>
      </c>
      <c r="E265" s="42"/>
      <c r="F265" s="12"/>
    </row>
    <row r="266" hidden="1" outlineLevel="1">
      <c r="A266" s="3"/>
      <c r="B266" s="9" t="s">
        <v>133</v>
      </c>
      <c r="C266" s="3"/>
      <c r="D266" s="3"/>
      <c r="E266" s="42"/>
      <c r="F266" s="12"/>
    </row>
    <row r="267">
      <c r="A267" s="3"/>
      <c r="B267" s="3"/>
      <c r="C267" s="3"/>
      <c r="D267" s="3"/>
      <c r="E267" s="42"/>
      <c r="F267" s="12"/>
    </row>
    <row r="268">
      <c r="A268" s="3"/>
      <c r="B268" s="4" t="s">
        <v>134</v>
      </c>
      <c r="C268" s="4">
        <f>SUM(C269:C302)</f>
        <v>9.0</v>
      </c>
      <c r="D268" s="4">
        <f>SUM(D269:D292)</f>
        <v>60.0</v>
      </c>
      <c r="E268" s="42"/>
      <c r="F268" s="12"/>
    </row>
    <row r="269" collapsed="1">
      <c r="A269" s="3" t="s">
        <v>135</v>
      </c>
      <c r="B269" s="3" t="s">
        <v>136</v>
      </c>
      <c r="C269" s="3">
        <v>1.0</v>
      </c>
      <c r="D269" s="3">
        <v>5.0</v>
      </c>
      <c r="E269" s="42"/>
      <c r="F269" s="12"/>
      <c r="G269" s="63" t="s">
        <v>984</v>
      </c>
    </row>
    <row r="270" hidden="1" outlineLevel="1">
      <c r="A270" s="3"/>
      <c r="B270" s="9" t="s">
        <v>137</v>
      </c>
      <c r="C270" s="3"/>
      <c r="D270" s="3"/>
      <c r="E270" s="42"/>
      <c r="F270" s="12"/>
    </row>
    <row r="271" hidden="1" outlineLevel="1">
      <c r="A271" s="3"/>
      <c r="B271" s="9" t="s">
        <v>138</v>
      </c>
      <c r="C271" s="3"/>
      <c r="D271" s="3"/>
      <c r="E271" s="42"/>
      <c r="F271" s="12"/>
    </row>
    <row r="272" hidden="1" outlineLevel="1">
      <c r="A272" s="3"/>
      <c r="B272" s="9" t="s">
        <v>139</v>
      </c>
      <c r="C272" s="3"/>
      <c r="D272" s="3"/>
      <c r="E272" s="42"/>
      <c r="F272" s="12"/>
    </row>
    <row r="273" hidden="1" outlineLevel="1">
      <c r="A273" s="3"/>
      <c r="B273" s="9" t="s">
        <v>140</v>
      </c>
      <c r="C273" s="3"/>
      <c r="D273" s="3"/>
      <c r="E273" s="42"/>
      <c r="F273" s="12"/>
    </row>
    <row r="274" hidden="1" outlineLevel="1">
      <c r="A274" s="3"/>
      <c r="B274" s="9" t="s">
        <v>141</v>
      </c>
      <c r="C274" s="3"/>
      <c r="D274" s="3"/>
      <c r="E274" s="42"/>
      <c r="F274" s="12"/>
    </row>
    <row r="275" collapsed="1">
      <c r="A275" s="3" t="s">
        <v>142</v>
      </c>
      <c r="B275" s="3" t="s">
        <v>143</v>
      </c>
      <c r="C275" s="3">
        <v>2.0</v>
      </c>
      <c r="D275" s="3">
        <v>5.0</v>
      </c>
      <c r="E275" s="42"/>
      <c r="F275" s="12"/>
      <c r="G275" s="63" t="s">
        <v>984</v>
      </c>
    </row>
    <row r="276" hidden="1" outlineLevel="1">
      <c r="A276" s="3"/>
      <c r="B276" s="9" t="s">
        <v>144</v>
      </c>
      <c r="C276" s="3"/>
      <c r="D276" s="3"/>
      <c r="E276" s="42"/>
      <c r="F276" s="12"/>
    </row>
    <row r="277" hidden="1" outlineLevel="1">
      <c r="A277" s="3"/>
      <c r="B277" s="9" t="s">
        <v>138</v>
      </c>
      <c r="C277" s="3"/>
      <c r="D277" s="3"/>
      <c r="E277" s="42"/>
      <c r="F277" s="12"/>
    </row>
    <row r="278" hidden="1" outlineLevel="1">
      <c r="A278" s="3"/>
      <c r="B278" s="9" t="s">
        <v>139</v>
      </c>
      <c r="C278" s="3"/>
      <c r="D278" s="3"/>
      <c r="E278" s="42"/>
      <c r="F278" s="12"/>
    </row>
    <row r="279" hidden="1" outlineLevel="1">
      <c r="A279" s="3"/>
      <c r="B279" s="9" t="s">
        <v>140</v>
      </c>
      <c r="C279" s="3"/>
      <c r="D279" s="3"/>
      <c r="E279" s="42"/>
      <c r="F279" s="12"/>
    </row>
    <row r="280" hidden="1" outlineLevel="1">
      <c r="A280" s="3"/>
      <c r="B280" s="9" t="s">
        <v>141</v>
      </c>
      <c r="C280" s="3"/>
      <c r="D280" s="3"/>
      <c r="E280" s="42"/>
      <c r="F280" s="12"/>
    </row>
    <row r="281" collapsed="1">
      <c r="A281" s="3" t="s">
        <v>145</v>
      </c>
      <c r="B281" s="3" t="s">
        <v>146</v>
      </c>
      <c r="C281" s="3">
        <v>1.0</v>
      </c>
      <c r="D281" s="3">
        <v>10.0</v>
      </c>
      <c r="E281" s="42"/>
      <c r="F281" s="12"/>
    </row>
    <row r="282" hidden="1" outlineLevel="1">
      <c r="A282" s="3"/>
      <c r="B282" s="9" t="s">
        <v>147</v>
      </c>
      <c r="C282" s="3"/>
      <c r="D282" s="3"/>
      <c r="E282" s="42"/>
      <c r="F282" s="12"/>
    </row>
    <row r="283" hidden="1" outlineLevel="1">
      <c r="A283" s="3"/>
      <c r="B283" s="9" t="s">
        <v>148</v>
      </c>
      <c r="C283" s="3"/>
      <c r="D283" s="3"/>
      <c r="E283" s="42"/>
      <c r="F283" s="12"/>
    </row>
    <row r="284" hidden="1" outlineLevel="1">
      <c r="A284" s="3"/>
      <c r="B284" s="9" t="s">
        <v>149</v>
      </c>
      <c r="C284" s="3"/>
      <c r="D284" s="3"/>
      <c r="E284" s="42"/>
      <c r="F284" s="12"/>
    </row>
    <row r="285" hidden="1" outlineLevel="1">
      <c r="A285" s="3"/>
      <c r="B285" s="9" t="s">
        <v>150</v>
      </c>
      <c r="C285" s="3"/>
      <c r="D285" s="3"/>
      <c r="E285" s="42"/>
      <c r="F285" s="12"/>
    </row>
    <row r="286">
      <c r="A286" s="3" t="s">
        <v>151</v>
      </c>
      <c r="B286" s="3" t="s">
        <v>152</v>
      </c>
      <c r="C286" s="3">
        <v>1.0</v>
      </c>
      <c r="D286" s="3">
        <v>10.0</v>
      </c>
      <c r="E286" s="42"/>
      <c r="F286" s="12"/>
    </row>
    <row r="287" collapsed="1">
      <c r="A287" s="3" t="s">
        <v>153</v>
      </c>
      <c r="B287" s="8" t="s">
        <v>154</v>
      </c>
      <c r="C287" s="3">
        <v>1.0</v>
      </c>
      <c r="D287" s="3">
        <v>10.0</v>
      </c>
      <c r="E287" s="42"/>
      <c r="F287" s="12"/>
      <c r="H287" s="64" t="s">
        <v>989</v>
      </c>
    </row>
    <row r="288" hidden="1" outlineLevel="1">
      <c r="A288" s="3"/>
      <c r="B288" s="7" t="s">
        <v>155</v>
      </c>
      <c r="C288" s="3"/>
      <c r="D288" s="3"/>
      <c r="E288" s="42"/>
      <c r="F288" s="12"/>
    </row>
    <row r="289" hidden="1" outlineLevel="1">
      <c r="A289" s="3"/>
      <c r="B289" s="7" t="s">
        <v>156</v>
      </c>
      <c r="C289" s="3"/>
      <c r="D289" s="3"/>
      <c r="E289" s="42"/>
      <c r="F289" s="12"/>
    </row>
    <row r="290" hidden="1" outlineLevel="1">
      <c r="A290" s="3"/>
      <c r="B290" s="7" t="s">
        <v>157</v>
      </c>
      <c r="C290" s="3"/>
      <c r="D290" s="3"/>
      <c r="E290" s="42"/>
      <c r="F290" s="12"/>
    </row>
    <row r="291" hidden="1" outlineLevel="1">
      <c r="A291" s="3"/>
      <c r="B291" s="7" t="s">
        <v>158</v>
      </c>
      <c r="C291" s="3"/>
      <c r="D291" s="3"/>
      <c r="E291" s="42"/>
      <c r="F291" s="12"/>
    </row>
    <row r="292" collapsed="1">
      <c r="A292" s="3" t="s">
        <v>159</v>
      </c>
      <c r="B292" s="3" t="s">
        <v>160</v>
      </c>
      <c r="C292" s="3">
        <v>2.0</v>
      </c>
      <c r="D292" s="3">
        <v>20.0</v>
      </c>
      <c r="E292" s="42"/>
      <c r="F292" s="12"/>
    </row>
    <row r="293" hidden="1" outlineLevel="1">
      <c r="A293" s="3"/>
      <c r="B293" s="9" t="s">
        <v>161</v>
      </c>
      <c r="C293" s="3"/>
      <c r="D293" s="3"/>
      <c r="E293" s="42"/>
      <c r="F293" s="12"/>
    </row>
    <row r="294" hidden="1" outlineLevel="1">
      <c r="A294" s="3"/>
      <c r="B294" s="9" t="s">
        <v>162</v>
      </c>
      <c r="C294" s="3"/>
      <c r="D294" s="3"/>
      <c r="E294" s="42"/>
      <c r="F294" s="12"/>
    </row>
    <row r="295" hidden="1" outlineLevel="1">
      <c r="A295" s="3"/>
      <c r="B295" s="9" t="s">
        <v>163</v>
      </c>
      <c r="C295" s="3"/>
      <c r="D295" s="3"/>
      <c r="E295" s="42"/>
      <c r="F295" s="12"/>
    </row>
    <row r="296" hidden="1" outlineLevel="1">
      <c r="A296" s="3"/>
      <c r="B296" s="9" t="s">
        <v>164</v>
      </c>
      <c r="C296" s="3"/>
      <c r="D296" s="3"/>
      <c r="E296" s="42"/>
      <c r="F296" s="12"/>
    </row>
    <row r="297" hidden="1" outlineLevel="1">
      <c r="A297" s="3"/>
      <c r="B297" s="9" t="s">
        <v>165</v>
      </c>
      <c r="C297" s="3"/>
      <c r="D297" s="3"/>
      <c r="E297" s="42"/>
      <c r="F297" s="12"/>
    </row>
    <row r="298" hidden="1" outlineLevel="1">
      <c r="A298" s="3"/>
      <c r="B298" s="9" t="s">
        <v>166</v>
      </c>
      <c r="C298" s="3"/>
      <c r="D298" s="3"/>
      <c r="E298" s="42"/>
      <c r="F298" s="12"/>
    </row>
    <row r="299" hidden="1" outlineLevel="1">
      <c r="A299" s="3"/>
      <c r="B299" s="9" t="s">
        <v>167</v>
      </c>
      <c r="C299" s="3"/>
      <c r="D299" s="3"/>
      <c r="E299" s="42"/>
      <c r="F299" s="12"/>
    </row>
    <row r="300" hidden="1" outlineLevel="1">
      <c r="A300" s="3"/>
      <c r="B300" s="9" t="s">
        <v>168</v>
      </c>
      <c r="C300" s="3"/>
      <c r="D300" s="3"/>
      <c r="E300" s="42"/>
      <c r="F300" s="12"/>
    </row>
    <row r="301" hidden="1" outlineLevel="1">
      <c r="A301" s="3"/>
      <c r="B301" s="9" t="s">
        <v>169</v>
      </c>
      <c r="C301" s="3"/>
      <c r="D301" s="3"/>
      <c r="E301" s="12"/>
      <c r="F301" s="12"/>
    </row>
    <row r="302" collapsed="1">
      <c r="A302" s="3" t="s">
        <v>349</v>
      </c>
      <c r="B302" s="13" t="s">
        <v>350</v>
      </c>
      <c r="C302" s="3">
        <v>1.0</v>
      </c>
      <c r="D302" s="3">
        <v>20.0</v>
      </c>
      <c r="E302" s="42" t="s">
        <v>172</v>
      </c>
      <c r="F302" s="12"/>
    </row>
    <row r="303" hidden="1" outlineLevel="1">
      <c r="A303" s="3"/>
      <c r="B303" s="9" t="s">
        <v>351</v>
      </c>
      <c r="C303" s="3"/>
      <c r="D303" s="3"/>
      <c r="E303" s="42"/>
      <c r="F303" s="12"/>
    </row>
    <row r="304" hidden="1" outlineLevel="1">
      <c r="A304" s="3"/>
      <c r="B304" s="9" t="s">
        <v>352</v>
      </c>
      <c r="C304" s="3"/>
      <c r="D304" s="3"/>
      <c r="E304" s="42"/>
      <c r="F304" s="12"/>
    </row>
    <row r="305">
      <c r="A305" s="4" t="s">
        <v>170</v>
      </c>
      <c r="B305" s="4"/>
      <c r="C305" s="4">
        <f>C2+C13+C22+C205+C230+C268</f>
        <v>104.0</v>
      </c>
      <c r="D305" s="4">
        <f>D2+D22+D205+D230+D268+D13</f>
        <v>880.0</v>
      </c>
      <c r="E305" s="42"/>
      <c r="F305" s="12"/>
    </row>
  </sheetData>
  <printOptions/>
  <pageMargins left="0.6740767578124998" right="0.6740767578124998" top="0.7222250976562498" bottom="0.7222250976562498" footer="0.2888900390625" header="0.2888900390625"/>
  <pageSetup paperSize="9" orientation="portrait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outlinePr/>
    <pageSetUpPr/>
  </sheetPr>
  <dimension ref="A1:F201"/>
  <sheetViews>
    <sheetView topLeftCell="A113" workbookViewId="0" zoomScaleNormal="100" zoomScaleSheetLayoutView="60">
      <selection activeCell="A163" sqref="A163:XFD163"/>
    </sheetView>
  </sheetViews>
  <sheetFormatPr defaultRowHeight="15.0" outlineLevelRow="1"/>
  <cols>
    <col min="1" max="1" width="6.251953125" bestFit="1" customWidth="1"/>
    <col min="2" max="2" width="60.876953125" customWidth="1"/>
    <col min="3" max="3" width="7.001953125" bestFit="1" customWidth="1"/>
    <col min="4" max="4" width="9.001953125" customWidth="1"/>
    <col min="5" max="5" width="8.626953125" customWidth="1"/>
    <col min="6" max="6" width="11.001953125" bestFit="1" customWidth="1"/>
  </cols>
  <sheetData>
    <row r="1" ht="45.0">
      <c r="A1" s="1" t="str">
        <f>Java!A1</f>
        <v>#</v>
      </c>
      <c r="B1" s="1" t="str">
        <f>Java!B1</f>
        <v>Вопросы</v>
      </c>
      <c r="C1" s="1" t="str">
        <f>Java!C1</f>
        <v>Баллы</v>
      </c>
      <c r="D1" s="2" t="str">
        <f>Java!D1</f>
        <v>Длительность
(мин)</v>
      </c>
      <c r="E1" s="11" t="str">
        <f>Java!E1</f>
        <v> № старого
вопроса</v>
      </c>
      <c r="F1" s="1" t="str">
        <f>Java!F1</f>
        <v>Сложность</v>
      </c>
    </row>
    <row r="2">
      <c r="A2" s="3"/>
      <c r="B2" s="4" t="str">
        <f>Java!B2</f>
        <v>Архитектура современных приложений</v>
      </c>
      <c r="C2" s="4">
        <f>Java!C2</f>
        <v>6.0</v>
      </c>
      <c r="D2" s="4">
        <f>Java!D2</f>
        <v>30.0</v>
      </c>
      <c r="E2" s="42"/>
      <c r="F2" s="12"/>
    </row>
    <row r="3">
      <c r="A3" s="3" t="str">
        <f>Java!A3</f>
        <v>A1</v>
      </c>
      <c r="B3" s="3" t="str">
        <f>Java!B3</f>
        <v>Консольные приложения</v>
      </c>
      <c r="C3" s="3">
        <f>Java!C3</f>
        <v>1.0</v>
      </c>
      <c r="D3" s="3">
        <f>Java!D3</f>
        <v>5.0</v>
      </c>
      <c r="E3" s="42"/>
      <c r="F3" s="12"/>
    </row>
    <row r="4" collapsed="1">
      <c r="A4" s="3" t="str">
        <f>Java!A4</f>
        <v>A2</v>
      </c>
      <c r="B4" s="5" t="str">
        <f>Java!B4</f>
        <v>Архитектура клиент-сервер</v>
      </c>
      <c r="C4" s="3">
        <f>Java!C4</f>
        <v>3.0</v>
      </c>
      <c r="D4" s="6">
        <f>Java!D4</f>
        <v>15.0</v>
      </c>
      <c r="E4" s="42"/>
      <c r="F4" s="12"/>
    </row>
    <row r="5" hidden="1" outlineLevel="1">
      <c r="A5" s="3"/>
      <c r="B5" s="7" t="str">
        <f>Java!B5</f>
        <v>Взаимодействие серверов с клиентами</v>
      </c>
      <c r="C5" s="3"/>
      <c r="D5" s="6"/>
      <c r="E5" s="42"/>
      <c r="F5" s="12"/>
    </row>
    <row r="6" hidden="1" outlineLevel="1">
      <c r="A6" s="3"/>
      <c r="B6" s="7" t="str">
        <f>Java!B6</f>
        <v>2х, 3х и многоуровневая архитектура клиент-сервер</v>
      </c>
      <c r="C6" s="3"/>
      <c r="D6" s="6"/>
      <c r="E6" s="42"/>
      <c r="F6" s="12"/>
    </row>
    <row r="7" hidden="1" outlineLevel="1">
      <c r="A7" s="3"/>
      <c r="B7" s="7" t="str">
        <f>Java!B7</f>
        <v>Тонкий и толстый клиент</v>
      </c>
      <c r="C7" s="3"/>
      <c r="D7" s="6"/>
      <c r="E7" s="42"/>
      <c r="F7" s="12"/>
    </row>
    <row r="8" collapsed="1">
      <c r="A8" s="3" t="str">
        <f>Java!A8</f>
        <v>A3</v>
      </c>
      <c r="B8" s="8" t="str">
        <f>Java!B8</f>
        <v>Web Services</v>
      </c>
      <c r="C8" s="3">
        <f>Java!C8</f>
        <v>2.0</v>
      </c>
      <c r="D8" s="3">
        <f>Java!D8</f>
        <v>10.0</v>
      </c>
      <c r="E8" s="42"/>
      <c r="F8" s="12"/>
    </row>
    <row r="9" hidden="1" outlineLevel="1">
      <c r="A9" s="3"/>
      <c r="B9" s="7" t="str">
        <f>Java!B9</f>
        <v>SOAP</v>
      </c>
      <c r="C9" s="3"/>
      <c r="D9" s="3"/>
      <c r="E9" s="42"/>
      <c r="F9" s="12"/>
    </row>
    <row r="10" hidden="1" outlineLevel="1">
      <c r="A10" s="3"/>
      <c r="B10" s="9" t="str">
        <f>Java!B10</f>
        <v>RESTful</v>
      </c>
      <c r="C10" s="3"/>
      <c r="D10" s="3"/>
      <c r="E10" s="42"/>
      <c r="F10" s="12"/>
    </row>
    <row r="11" hidden="1" outlineLevel="1">
      <c r="A11" s="3"/>
      <c r="B11" s="9" t="str">
        <f>Java!B11</f>
        <v>Сравнение, преимущества/недостатки</v>
      </c>
      <c r="C11" s="3"/>
      <c r="D11" s="3"/>
      <c r="E11" s="42"/>
      <c r="F11" s="12"/>
    </row>
    <row r="12">
      <c r="A12" s="3"/>
      <c r="B12" s="3"/>
      <c r="C12" s="3"/>
      <c r="D12" s="3"/>
      <c r="E12" s="42"/>
      <c r="F12" s="12"/>
    </row>
    <row r="13">
      <c r="A13" s="3"/>
      <c r="B13" s="4" t="str">
        <f>Java!B13</f>
        <v>ООП</v>
      </c>
      <c r="C13" s="4">
        <f>Java!C13</f>
        <v>3.0</v>
      </c>
      <c r="D13" s="4">
        <f>Java!D13</f>
        <v>30.0</v>
      </c>
      <c r="E13" s="42"/>
      <c r="F13" s="12"/>
    </row>
    <row r="14" collapsed="1">
      <c r="A14" s="3" t="str">
        <f>Java!A14</f>
        <v>O1</v>
      </c>
      <c r="B14" s="5" t="str">
        <f>Java!B14</f>
        <v>Основные понятия</v>
      </c>
      <c r="C14" s="3">
        <f>Java!C14</f>
        <v>1.0</v>
      </c>
      <c r="D14" s="3">
        <f>Java!D14</f>
        <v>10.0</v>
      </c>
      <c r="E14" s="42"/>
      <c r="F14" s="12"/>
    </row>
    <row r="15" hidden="1" outlineLevel="1">
      <c r="A15" s="3"/>
      <c r="B15" s="7" t="str">
        <f>Java!B15</f>
        <v>Инкапсуляция</v>
      </c>
      <c r="C15" s="3"/>
      <c r="D15" s="3"/>
      <c r="E15" s="42"/>
      <c r="F15" s="12"/>
    </row>
    <row r="16" hidden="1" outlineLevel="1">
      <c r="A16" s="3"/>
      <c r="B16" s="7" t="str">
        <f>Java!B16</f>
        <v>Наследование</v>
      </c>
      <c r="C16" s="3"/>
      <c r="D16" s="3"/>
      <c r="E16" s="42"/>
      <c r="F16" s="12"/>
    </row>
    <row r="17" hidden="1" outlineLevel="1">
      <c r="A17" s="3"/>
      <c r="B17" s="7" t="str">
        <f>Java!B17</f>
        <v>Полиморфизм</v>
      </c>
      <c r="C17" s="3"/>
      <c r="D17" s="3"/>
      <c r="E17" s="42"/>
      <c r="F17" s="12"/>
    </row>
    <row r="18" hidden="1" outlineLevel="1">
      <c r="A18" s="3"/>
      <c r="B18" s="7" t="str">
        <f>Java!B18</f>
        <v>Типы взаимоотношений классов (ассоциация, агрегация и композиция, обобщение/расширение (наследование))</v>
      </c>
      <c r="C18" s="3"/>
      <c r="D18" s="3"/>
      <c r="E18" s="42"/>
      <c r="F18" s="12"/>
    </row>
    <row r="19" hidden="1" outlineLevel="1">
      <c r="A19" s="3"/>
      <c r="B19" s="7" t="str">
        <f>Java!B19</f>
        <v>Интерфейс, абстрактный класс</v>
      </c>
      <c r="C19" s="3"/>
      <c r="D19" s="3"/>
      <c r="E19" s="42"/>
      <c r="F19" s="12"/>
    </row>
    <row r="20">
      <c r="A20" s="3" t="str">
        <f>Java!A20</f>
        <v>O2</v>
      </c>
      <c r="B20" s="8" t="str">
        <f>Java!B20</f>
        <v>Основные паттерны ООП</v>
      </c>
      <c r="C20" s="3">
        <f>Java!C20</f>
        <v>2.0</v>
      </c>
      <c r="D20" s="3">
        <f>Java!D20</f>
        <v>20.0</v>
      </c>
      <c r="E20" s="42"/>
      <c r="F20" s="12"/>
    </row>
    <row r="21">
      <c r="A21" s="3"/>
      <c r="B21" s="8"/>
      <c r="C21" s="3"/>
      <c r="D21" s="3"/>
      <c r="E21" s="42"/>
      <c r="F21" s="12"/>
    </row>
    <row r="22">
      <c r="A22" s="3"/>
      <c r="B22" s="4" t="s">
        <v>353</v>
      </c>
      <c r="C22" s="4">
        <f>SUM(C23:C113)</f>
        <v>62.0</v>
      </c>
      <c r="D22" s="4">
        <f>SUM(D23:D115)</f>
        <v>550.0</v>
      </c>
      <c r="E22" s="42"/>
      <c r="F22" s="12"/>
    </row>
    <row r="23" collapsed="1">
      <c r="A23" s="14" t="s">
        <v>354</v>
      </c>
      <c r="B23" s="14" t="s">
        <v>355</v>
      </c>
      <c r="C23" s="14">
        <v>1.0</v>
      </c>
      <c r="D23" s="14">
        <v>15.0</v>
      </c>
      <c r="E23" s="36" t="s">
        <v>354</v>
      </c>
      <c r="F23" s="14">
        <v>1.0</v>
      </c>
    </row>
    <row r="24" s="22" customFormat="1" hidden="1" outlineLevel="1">
      <c r="A24" s="18"/>
      <c r="B24" s="19" t="s">
        <v>63</v>
      </c>
      <c r="C24" s="18"/>
      <c r="D24" s="18"/>
      <c r="E24" s="37"/>
      <c r="F24" s="18"/>
    </row>
    <row r="25" s="22" customFormat="1" hidden="1" outlineLevel="1">
      <c r="A25" s="18"/>
      <c r="B25" s="19" t="s">
        <v>356</v>
      </c>
      <c r="C25" s="18"/>
      <c r="D25" s="18"/>
      <c r="E25" s="37"/>
      <c r="F25" s="18"/>
    </row>
    <row r="26" s="22" customFormat="1" hidden="1" outlineLevel="1">
      <c r="A26" s="18"/>
      <c r="B26" s="19" t="s">
        <v>357</v>
      </c>
      <c r="C26" s="18"/>
      <c r="D26" s="18"/>
      <c r="E26" s="37"/>
      <c r="F26" s="18"/>
    </row>
    <row r="27" collapsed="1">
      <c r="A27" s="14" t="s">
        <v>358</v>
      </c>
      <c r="B27" s="14" t="s">
        <v>359</v>
      </c>
      <c r="C27" s="14">
        <v>1.0</v>
      </c>
      <c r="D27" s="14">
        <v>10.0</v>
      </c>
      <c r="E27" s="36" t="s">
        <v>358</v>
      </c>
      <c r="F27" s="14">
        <v>1.0</v>
      </c>
    </row>
    <row r="28" s="23" customFormat="1" hidden="1" outlineLevel="1">
      <c r="A28" s="18"/>
      <c r="B28" s="19" t="s">
        <v>360</v>
      </c>
      <c r="C28" s="18"/>
      <c r="D28" s="18"/>
      <c r="E28" s="37"/>
      <c r="F28" s="18"/>
    </row>
    <row r="29" s="23" customFormat="1" hidden="1" outlineLevel="1">
      <c r="A29" s="18"/>
      <c r="B29" s="19" t="s">
        <v>361</v>
      </c>
      <c r="C29" s="18"/>
      <c r="D29" s="18"/>
      <c r="E29" s="37"/>
      <c r="F29" s="18"/>
    </row>
    <row r="30" s="23" customFormat="1" hidden="1" outlineLevel="1">
      <c r="A30" s="18"/>
      <c r="B30" s="19" t="s">
        <v>362</v>
      </c>
      <c r="C30" s="18"/>
      <c r="D30" s="18"/>
      <c r="E30" s="37"/>
      <c r="F30" s="18"/>
    </row>
    <row r="31" collapsed="1">
      <c r="A31" s="14" t="s">
        <v>363</v>
      </c>
      <c r="B31" s="14" t="s">
        <v>364</v>
      </c>
      <c r="C31" s="14">
        <v>1.0</v>
      </c>
      <c r="D31" s="14">
        <v>15.0</v>
      </c>
      <c r="E31" s="36" t="s">
        <v>363</v>
      </c>
      <c r="F31" s="14">
        <v>1.0</v>
      </c>
    </row>
    <row r="32" s="23" customFormat="1" hidden="1" outlineLevel="1">
      <c r="A32" s="18"/>
      <c r="B32" s="19" t="s">
        <v>365</v>
      </c>
      <c r="C32" s="18"/>
      <c r="D32" s="18"/>
      <c r="E32" s="37"/>
      <c r="F32" s="18"/>
    </row>
    <row r="33" s="23" customFormat="1" hidden="1" outlineLevel="1">
      <c r="A33" s="18"/>
      <c r="B33" s="19" t="s">
        <v>366</v>
      </c>
      <c r="C33" s="18"/>
      <c r="D33" s="18"/>
      <c r="E33" s="37"/>
      <c r="F33" s="18"/>
    </row>
    <row r="34" collapsed="1">
      <c r="A34" s="14" t="s">
        <v>367</v>
      </c>
      <c r="B34" s="14" t="s">
        <v>368</v>
      </c>
      <c r="C34" s="14">
        <v>1.0</v>
      </c>
      <c r="D34" s="14">
        <v>10.0</v>
      </c>
      <c r="E34" s="36" t="s">
        <v>367</v>
      </c>
      <c r="F34" s="14">
        <v>1.0</v>
      </c>
    </row>
    <row r="35" s="23" customFormat="1" hidden="1" outlineLevel="1">
      <c r="A35" s="18"/>
      <c r="B35" s="19" t="s">
        <v>369</v>
      </c>
      <c r="C35" s="18"/>
      <c r="D35" s="18"/>
      <c r="E35" s="37"/>
      <c r="F35" s="18"/>
    </row>
    <row r="36" s="23" customFormat="1" hidden="1" outlineLevel="1">
      <c r="A36" s="18"/>
      <c r="B36" s="19" t="s">
        <v>129</v>
      </c>
      <c r="C36" s="18"/>
      <c r="D36" s="18"/>
      <c r="E36" s="37"/>
      <c r="F36" s="18"/>
    </row>
    <row r="37" s="23" customFormat="1" hidden="1" outlineLevel="1">
      <c r="A37" s="18"/>
      <c r="B37" s="19" t="s">
        <v>370</v>
      </c>
      <c r="C37" s="18"/>
      <c r="D37" s="18"/>
      <c r="E37" s="37"/>
      <c r="F37" s="18"/>
    </row>
    <row r="38" collapsed="1">
      <c r="A38" s="14" t="s">
        <v>371</v>
      </c>
      <c r="B38" s="14" t="s">
        <v>372</v>
      </c>
      <c r="C38" s="14">
        <v>1.0</v>
      </c>
      <c r="D38" s="14">
        <v>15.0</v>
      </c>
      <c r="E38" s="36" t="s">
        <v>371</v>
      </c>
      <c r="F38" s="14">
        <v>1.0</v>
      </c>
    </row>
    <row r="39" s="23" customFormat="1" hidden="1" outlineLevel="1">
      <c r="A39" s="18"/>
      <c r="B39" s="19" t="s">
        <v>373</v>
      </c>
      <c r="C39" s="18"/>
      <c r="D39" s="18"/>
      <c r="E39" s="37"/>
      <c r="F39" s="18"/>
    </row>
    <row r="40" s="23" customFormat="1" hidden="1" outlineLevel="1">
      <c r="A40" s="18"/>
      <c r="B40" s="19" t="s">
        <v>374</v>
      </c>
      <c r="C40" s="18"/>
      <c r="D40" s="18"/>
      <c r="E40" s="37"/>
      <c r="F40" s="18"/>
    </row>
    <row r="41" s="23" customFormat="1" hidden="1" outlineLevel="1">
      <c r="A41" s="18"/>
      <c r="B41" s="19" t="s">
        <v>375</v>
      </c>
      <c r="C41" s="18"/>
      <c r="D41" s="18"/>
      <c r="E41" s="37"/>
      <c r="F41" s="18"/>
    </row>
    <row r="42" s="23" customFormat="1" hidden="1" outlineLevel="1">
      <c r="A42" s="18"/>
      <c r="B42" s="19" t="s">
        <v>376</v>
      </c>
      <c r="C42" s="18"/>
      <c r="D42" s="18"/>
      <c r="E42" s="37"/>
      <c r="F42" s="18"/>
    </row>
    <row r="43" collapsed="1">
      <c r="A43" s="14" t="s">
        <v>377</v>
      </c>
      <c r="B43" s="14" t="s">
        <v>378</v>
      </c>
      <c r="C43" s="14">
        <v>1.0</v>
      </c>
      <c r="D43" s="14">
        <v>15.0</v>
      </c>
      <c r="E43" s="36" t="s">
        <v>172</v>
      </c>
      <c r="F43" s="14">
        <v>1.0</v>
      </c>
    </row>
    <row r="44" s="23" customFormat="1" hidden="1" outlineLevel="1">
      <c r="A44" s="18"/>
      <c r="B44" s="19" t="s">
        <v>379</v>
      </c>
      <c r="C44" s="18"/>
      <c r="D44" s="18"/>
      <c r="E44" s="37"/>
      <c r="F44" s="18"/>
    </row>
    <row r="45" s="23" customFormat="1" hidden="1" outlineLevel="1">
      <c r="A45" s="18"/>
      <c r="B45" s="19" t="s">
        <v>380</v>
      </c>
      <c r="C45" s="18"/>
      <c r="D45" s="18"/>
      <c r="E45" s="37"/>
      <c r="F45" s="18"/>
    </row>
    <row r="46" s="23" customFormat="1" hidden="1" outlineLevel="1">
      <c r="A46" s="18"/>
      <c r="B46" s="19" t="s">
        <v>381</v>
      </c>
      <c r="C46" s="18"/>
      <c r="D46" s="18"/>
      <c r="E46" s="37"/>
      <c r="F46" s="18"/>
    </row>
    <row r="47" s="23" customFormat="1" hidden="1" outlineLevel="1">
      <c r="A47" s="18"/>
      <c r="B47" s="19" t="s">
        <v>382</v>
      </c>
      <c r="C47" s="18"/>
      <c r="D47" s="18"/>
      <c r="E47" s="37"/>
      <c r="F47" s="18"/>
    </row>
    <row r="48" s="23" customFormat="1" hidden="1" outlineLevel="1">
      <c r="A48" s="18"/>
      <c r="B48" s="19" t="s">
        <v>383</v>
      </c>
      <c r="C48" s="18"/>
      <c r="D48" s="18"/>
      <c r="E48" s="37"/>
      <c r="F48" s="18"/>
    </row>
    <row r="49" s="23" customFormat="1" hidden="1" outlineLevel="1">
      <c r="A49" s="18"/>
      <c r="B49" s="19" t="s">
        <v>384</v>
      </c>
      <c r="C49" s="18"/>
      <c r="D49" s="18"/>
      <c r="E49" s="37"/>
      <c r="F49" s="18"/>
    </row>
    <row r="50" collapsed="1">
      <c r="A50" s="14" t="s">
        <v>385</v>
      </c>
      <c r="B50" s="14" t="s">
        <v>386</v>
      </c>
      <c r="C50" s="14">
        <v>1.0</v>
      </c>
      <c r="D50" s="14">
        <v>10.0</v>
      </c>
      <c r="E50" s="36" t="s">
        <v>377</v>
      </c>
      <c r="F50" s="14">
        <v>1.0</v>
      </c>
    </row>
    <row r="51" s="23" customFormat="1" hidden="1" outlineLevel="1">
      <c r="A51" s="18"/>
      <c r="B51" s="19" t="s">
        <v>387</v>
      </c>
      <c r="C51" s="18"/>
      <c r="D51" s="18"/>
      <c r="E51" s="37"/>
      <c r="F51" s="18"/>
    </row>
    <row r="52" s="23" customFormat="1" hidden="1" outlineLevel="1">
      <c r="A52" s="18"/>
      <c r="B52" s="19" t="s">
        <v>388</v>
      </c>
      <c r="C52" s="18"/>
      <c r="D52" s="18"/>
      <c r="E52" s="37"/>
      <c r="F52" s="18"/>
    </row>
    <row r="53" collapsed="1">
      <c r="A53" s="14" t="s">
        <v>389</v>
      </c>
      <c r="B53" s="14" t="s">
        <v>390</v>
      </c>
      <c r="C53" s="14">
        <v>1.0</v>
      </c>
      <c r="D53" s="14">
        <v>15.0</v>
      </c>
      <c r="E53" s="36" t="s">
        <v>385</v>
      </c>
      <c r="F53" s="14">
        <v>1.0</v>
      </c>
    </row>
    <row r="54" s="23" customFormat="1" hidden="1" outlineLevel="1">
      <c r="A54" s="18"/>
      <c r="B54" s="19" t="s">
        <v>391</v>
      </c>
      <c r="C54" s="18"/>
      <c r="D54" s="18"/>
      <c r="E54" s="37"/>
      <c r="F54" s="18"/>
    </row>
    <row r="55" s="23" customFormat="1" hidden="1" outlineLevel="1">
      <c r="A55" s="18"/>
      <c r="B55" s="19" t="s">
        <v>392</v>
      </c>
      <c r="C55" s="18"/>
      <c r="D55" s="18"/>
      <c r="E55" s="37"/>
      <c r="F55" s="18"/>
    </row>
    <row r="56" collapsed="1">
      <c r="A56" s="14" t="s">
        <v>393</v>
      </c>
      <c r="B56" s="14" t="s">
        <v>394</v>
      </c>
      <c r="C56" s="14">
        <v>1.0</v>
      </c>
      <c r="D56" s="14">
        <v>20.0</v>
      </c>
      <c r="E56" s="36" t="s">
        <v>389</v>
      </c>
      <c r="F56" s="14">
        <v>1.0</v>
      </c>
    </row>
    <row r="57" s="23" customFormat="1" hidden="1" outlineLevel="1">
      <c r="A57" s="18"/>
      <c r="B57" s="19" t="s">
        <v>395</v>
      </c>
      <c r="C57" s="18"/>
      <c r="D57" s="18"/>
      <c r="E57" s="37"/>
      <c r="F57" s="18"/>
    </row>
    <row r="58" s="23" customFormat="1" hidden="1" outlineLevel="1">
      <c r="A58" s="18"/>
      <c r="B58" s="19" t="s">
        <v>396</v>
      </c>
      <c r="C58" s="18"/>
      <c r="D58" s="18"/>
      <c r="E58" s="37"/>
      <c r="F58" s="18"/>
    </row>
    <row r="59" s="23" customFormat="1" hidden="1" outlineLevel="1">
      <c r="A59" s="18"/>
      <c r="B59" s="19" t="s">
        <v>397</v>
      </c>
      <c r="C59" s="18"/>
      <c r="D59" s="18"/>
      <c r="E59" s="37"/>
      <c r="F59" s="18"/>
    </row>
    <row r="60" s="23" customFormat="1" hidden="1" outlineLevel="1">
      <c r="A60" s="18"/>
      <c r="B60" s="19" t="s">
        <v>398</v>
      </c>
      <c r="C60" s="18"/>
      <c r="D60" s="18"/>
      <c r="E60" s="37"/>
      <c r="F60" s="18"/>
    </row>
    <row r="61" collapsed="1">
      <c r="A61" s="14" t="s">
        <v>399</v>
      </c>
      <c r="B61" s="14" t="s">
        <v>309</v>
      </c>
      <c r="C61" s="14">
        <v>1.0</v>
      </c>
      <c r="D61" s="14">
        <v>10.0</v>
      </c>
      <c r="E61" s="36" t="s">
        <v>431</v>
      </c>
      <c r="F61" s="14">
        <v>1.0</v>
      </c>
    </row>
    <row r="62" s="23" customFormat="1" hidden="1" outlineLevel="1">
      <c r="A62" s="18"/>
      <c r="B62" s="19" t="s">
        <v>432</v>
      </c>
      <c r="C62" s="18"/>
      <c r="D62" s="18"/>
      <c r="E62" s="37"/>
      <c r="F62" s="18"/>
    </row>
    <row r="63" s="23" customFormat="1" hidden="1" outlineLevel="1">
      <c r="A63" s="18"/>
      <c r="B63" s="19" t="s">
        <v>433</v>
      </c>
      <c r="C63" s="18"/>
      <c r="D63" s="18"/>
      <c r="E63" s="37"/>
      <c r="F63" s="18"/>
    </row>
    <row r="64" s="23" customFormat="1" hidden="1" outlineLevel="1">
      <c r="A64" s="18"/>
      <c r="B64" s="19" t="s">
        <v>434</v>
      </c>
      <c r="C64" s="18"/>
      <c r="D64" s="18"/>
      <c r="E64" s="37"/>
      <c r="F64" s="18"/>
    </row>
    <row r="65" collapsed="1">
      <c r="A65" s="15" t="s">
        <v>400</v>
      </c>
      <c r="B65" s="15" t="s">
        <v>401</v>
      </c>
      <c r="C65" s="15">
        <v>2.0</v>
      </c>
      <c r="D65" s="15">
        <v>15.0</v>
      </c>
      <c r="E65" s="38" t="s">
        <v>399</v>
      </c>
      <c r="F65" s="15">
        <v>2.0</v>
      </c>
    </row>
    <row r="66" s="22" customFormat="1" hidden="1" outlineLevel="1">
      <c r="A66" s="20"/>
      <c r="B66" s="20" t="s">
        <v>402</v>
      </c>
      <c r="C66" s="20"/>
      <c r="D66" s="20"/>
      <c r="E66" s="39"/>
      <c r="F66" s="20"/>
    </row>
    <row r="67" s="22" customFormat="1" hidden="1" outlineLevel="1">
      <c r="A67" s="20"/>
      <c r="B67" s="20" t="s">
        <v>403</v>
      </c>
      <c r="C67" s="20"/>
      <c r="D67" s="20"/>
      <c r="E67" s="39"/>
      <c r="F67" s="20"/>
    </row>
    <row r="68" s="22" customFormat="1" hidden="1" outlineLevel="1">
      <c r="A68" s="20"/>
      <c r="B68" s="20" t="s">
        <v>404</v>
      </c>
      <c r="C68" s="20"/>
      <c r="D68" s="20"/>
      <c r="E68" s="39"/>
      <c r="F68" s="20"/>
    </row>
    <row r="69">
      <c r="A69" s="15" t="s">
        <v>405</v>
      </c>
      <c r="B69" s="15" t="s">
        <v>453</v>
      </c>
      <c r="C69" s="15">
        <v>2.0</v>
      </c>
      <c r="D69" s="15">
        <v>15.0</v>
      </c>
      <c r="E69" s="38" t="s">
        <v>435</v>
      </c>
      <c r="F69" s="15">
        <v>2.0</v>
      </c>
    </row>
    <row r="70">
      <c r="A70" s="15" t="s">
        <v>407</v>
      </c>
      <c r="B70" s="15" t="s">
        <v>454</v>
      </c>
      <c r="C70" s="15">
        <v>2.0</v>
      </c>
      <c r="D70" s="15">
        <v>15.0</v>
      </c>
      <c r="E70" s="38" t="s">
        <v>435</v>
      </c>
      <c r="F70" s="15">
        <v>2.0</v>
      </c>
    </row>
    <row r="71">
      <c r="A71" s="15" t="s">
        <v>418</v>
      </c>
      <c r="B71" s="15" t="s">
        <v>455</v>
      </c>
      <c r="C71" s="15">
        <v>2.0</v>
      </c>
      <c r="D71" s="15">
        <v>15.0</v>
      </c>
      <c r="E71" s="38" t="s">
        <v>430</v>
      </c>
      <c r="F71" s="15">
        <v>2.0</v>
      </c>
    </row>
    <row r="72" collapsed="1">
      <c r="A72" s="15" t="s">
        <v>412</v>
      </c>
      <c r="B72" s="15" t="s">
        <v>436</v>
      </c>
      <c r="C72" s="15">
        <v>2.0</v>
      </c>
      <c r="D72" s="15">
        <v>10.0</v>
      </c>
      <c r="E72" s="38" t="s">
        <v>437</v>
      </c>
      <c r="F72" s="15">
        <v>2.0</v>
      </c>
    </row>
    <row r="73" s="22" customFormat="1" hidden="1" outlineLevel="1">
      <c r="A73" s="20"/>
      <c r="B73" s="20" t="s">
        <v>438</v>
      </c>
      <c r="C73" s="20"/>
      <c r="D73" s="20"/>
      <c r="E73" s="39"/>
      <c r="F73" s="34"/>
    </row>
    <row r="74" s="22" customFormat="1" hidden="1" outlineLevel="1">
      <c r="A74" s="20"/>
      <c r="B74" s="20" t="s">
        <v>439</v>
      </c>
      <c r="C74" s="20"/>
      <c r="D74" s="20"/>
      <c r="E74" s="39"/>
      <c r="F74" s="34"/>
    </row>
    <row r="75" s="22" customFormat="1" hidden="1" outlineLevel="1">
      <c r="A75" s="20"/>
      <c r="B75" s="20" t="s">
        <v>440</v>
      </c>
      <c r="C75" s="20"/>
      <c r="D75" s="20"/>
      <c r="E75" s="39"/>
      <c r="F75" s="34"/>
    </row>
    <row r="76" s="22" customFormat="1" hidden="1" outlineLevel="1">
      <c r="A76" s="20"/>
      <c r="B76" s="20" t="s">
        <v>441</v>
      </c>
      <c r="C76" s="20"/>
      <c r="D76" s="20"/>
      <c r="E76" s="39"/>
      <c r="F76" s="34"/>
    </row>
    <row r="77">
      <c r="A77" s="15" t="s">
        <v>430</v>
      </c>
      <c r="B77" s="15" t="s">
        <v>452</v>
      </c>
      <c r="C77" s="15">
        <v>2.0</v>
      </c>
      <c r="D77" s="15">
        <v>15.0</v>
      </c>
      <c r="E77" s="38" t="s">
        <v>437</v>
      </c>
      <c r="F77" s="15">
        <v>2.0</v>
      </c>
    </row>
    <row r="78">
      <c r="A78" s="15" t="s">
        <v>420</v>
      </c>
      <c r="B78" s="15" t="s">
        <v>462</v>
      </c>
      <c r="C78" s="15">
        <v>2.0</v>
      </c>
      <c r="D78" s="15">
        <v>15.0</v>
      </c>
      <c r="E78" s="38" t="s">
        <v>400</v>
      </c>
      <c r="F78" s="15">
        <v>2.0</v>
      </c>
    </row>
    <row r="79" collapsed="1">
      <c r="A79" s="15" t="s">
        <v>428</v>
      </c>
      <c r="B79" s="15" t="s">
        <v>465</v>
      </c>
      <c r="C79" s="15">
        <v>2.0</v>
      </c>
      <c r="D79" s="15">
        <v>25.0</v>
      </c>
      <c r="E79" s="38" t="s">
        <v>172</v>
      </c>
      <c r="F79" s="15">
        <v>2.0</v>
      </c>
    </row>
    <row r="80" s="22" customFormat="1" hidden="1" outlineLevel="1">
      <c r="A80" s="20"/>
      <c r="B80" s="20" t="s">
        <v>463</v>
      </c>
      <c r="C80" s="20"/>
      <c r="D80" s="20"/>
      <c r="E80" s="39"/>
      <c r="F80" s="20"/>
    </row>
    <row r="81" s="22" customFormat="1" hidden="1" outlineLevel="1">
      <c r="A81" s="20"/>
      <c r="B81" s="20" t="s">
        <v>464</v>
      </c>
      <c r="C81" s="20"/>
      <c r="D81" s="20"/>
      <c r="E81" s="39"/>
      <c r="F81" s="20"/>
    </row>
    <row r="82">
      <c r="A82" s="16" t="s">
        <v>431</v>
      </c>
      <c r="B82" s="16" t="s">
        <v>459</v>
      </c>
      <c r="C82" s="16">
        <v>3.0</v>
      </c>
      <c r="D82" s="16">
        <v>30.0</v>
      </c>
      <c r="E82" s="40" t="s">
        <v>393</v>
      </c>
      <c r="F82" s="16">
        <v>3.0</v>
      </c>
    </row>
    <row r="83">
      <c r="A83" s="16" t="s">
        <v>435</v>
      </c>
      <c r="B83" s="16" t="s">
        <v>460</v>
      </c>
      <c r="C83" s="16">
        <v>3.0</v>
      </c>
      <c r="D83" s="16">
        <v>30.0</v>
      </c>
      <c r="E83" s="40" t="s">
        <v>393</v>
      </c>
      <c r="F83" s="16">
        <v>3.0</v>
      </c>
    </row>
    <row r="84">
      <c r="A84" s="16" t="s">
        <v>437</v>
      </c>
      <c r="B84" s="16" t="s">
        <v>461</v>
      </c>
      <c r="C84" s="16">
        <v>3.0</v>
      </c>
      <c r="D84" s="16">
        <v>30.0</v>
      </c>
      <c r="E84" s="40" t="s">
        <v>393</v>
      </c>
      <c r="F84" s="16">
        <v>3.0</v>
      </c>
    </row>
    <row r="85" collapsed="1">
      <c r="A85" s="16" t="s">
        <v>443</v>
      </c>
      <c r="B85" s="16" t="s">
        <v>406</v>
      </c>
      <c r="C85" s="16">
        <v>3.0</v>
      </c>
      <c r="D85" s="16">
        <v>20.0</v>
      </c>
      <c r="E85" s="40" t="s">
        <v>407</v>
      </c>
      <c r="F85" s="16">
        <v>3.0</v>
      </c>
    </row>
    <row r="86" s="22" customFormat="1" hidden="1" outlineLevel="1">
      <c r="A86" s="21"/>
      <c r="B86" s="21" t="s">
        <v>408</v>
      </c>
      <c r="C86" s="21"/>
      <c r="D86" s="21"/>
      <c r="E86" s="41"/>
      <c r="F86" s="28"/>
    </row>
    <row r="87" s="22" customFormat="1" hidden="1" outlineLevel="1">
      <c r="A87" s="21"/>
      <c r="B87" s="21" t="s">
        <v>409</v>
      </c>
      <c r="C87" s="21"/>
      <c r="D87" s="21"/>
      <c r="E87" s="41"/>
      <c r="F87" s="28"/>
    </row>
    <row r="88" s="22" customFormat="1" hidden="1" outlineLevel="1">
      <c r="A88" s="21"/>
      <c r="B88" s="21" t="s">
        <v>410</v>
      </c>
      <c r="C88" s="21"/>
      <c r="D88" s="21"/>
      <c r="E88" s="41"/>
      <c r="F88" s="28"/>
    </row>
    <row r="89" collapsed="1">
      <c r="A89" s="16" t="s">
        <v>449</v>
      </c>
      <c r="B89" s="16" t="s">
        <v>411</v>
      </c>
      <c r="C89" s="16">
        <v>3.0</v>
      </c>
      <c r="D89" s="16">
        <v>20.0</v>
      </c>
      <c r="E89" s="40" t="s">
        <v>412</v>
      </c>
      <c r="F89" s="16">
        <v>3.0</v>
      </c>
    </row>
    <row r="90" s="22" customFormat="1" hidden="1" outlineLevel="1">
      <c r="A90" s="21"/>
      <c r="B90" s="21" t="s">
        <v>413</v>
      </c>
      <c r="C90" s="21"/>
      <c r="D90" s="21"/>
      <c r="E90" s="41"/>
      <c r="F90" s="28"/>
    </row>
    <row r="91" s="22" customFormat="1" hidden="1" outlineLevel="1">
      <c r="A91" s="21"/>
      <c r="B91" s="21" t="s">
        <v>409</v>
      </c>
      <c r="C91" s="21"/>
      <c r="D91" s="21"/>
      <c r="E91" s="41"/>
      <c r="F91" s="28"/>
    </row>
    <row r="92" s="22" customFormat="1" hidden="1" outlineLevel="1">
      <c r="A92" s="21"/>
      <c r="B92" s="21" t="s">
        <v>414</v>
      </c>
      <c r="C92" s="21"/>
      <c r="D92" s="21"/>
      <c r="E92" s="41"/>
      <c r="F92" s="28"/>
    </row>
    <row r="93" s="22" customFormat="1" hidden="1" outlineLevel="1">
      <c r="A93" s="21"/>
      <c r="B93" s="21" t="s">
        <v>415</v>
      </c>
      <c r="C93" s="21"/>
      <c r="D93" s="21"/>
      <c r="E93" s="41"/>
      <c r="F93" s="28"/>
    </row>
    <row r="94" s="22" customFormat="1" hidden="1" outlineLevel="1">
      <c r="A94" s="21"/>
      <c r="B94" s="21" t="s">
        <v>416</v>
      </c>
      <c r="C94" s="21"/>
      <c r="D94" s="21"/>
      <c r="E94" s="41"/>
      <c r="F94" s="28"/>
    </row>
    <row r="95" s="22" customFormat="1" hidden="1" outlineLevel="1">
      <c r="A95" s="21"/>
      <c r="B95" s="21" t="s">
        <v>417</v>
      </c>
      <c r="C95" s="21"/>
      <c r="D95" s="21"/>
      <c r="E95" s="41"/>
      <c r="F95" s="28"/>
    </row>
    <row r="96" collapsed="1">
      <c r="A96" s="16" t="s">
        <v>466</v>
      </c>
      <c r="B96" s="16" t="s">
        <v>419</v>
      </c>
      <c r="C96" s="16">
        <v>3.0</v>
      </c>
      <c r="D96" s="16">
        <v>20.0</v>
      </c>
      <c r="E96" s="40" t="s">
        <v>420</v>
      </c>
      <c r="F96" s="16">
        <v>3.0</v>
      </c>
    </row>
    <row r="97" s="22" customFormat="1" hidden="1" outlineLevel="1">
      <c r="A97" s="21"/>
      <c r="B97" s="21" t="s">
        <v>421</v>
      </c>
      <c r="C97" s="21"/>
      <c r="D97" s="21"/>
      <c r="E97" s="41"/>
      <c r="F97" s="28"/>
    </row>
    <row r="98" s="22" customFormat="1" hidden="1" outlineLevel="1">
      <c r="A98" s="21"/>
      <c r="B98" s="21" t="s">
        <v>422</v>
      </c>
      <c r="C98" s="21"/>
      <c r="D98" s="21"/>
      <c r="E98" s="41"/>
      <c r="F98" s="28"/>
    </row>
    <row r="99" s="22" customFormat="1" hidden="1" outlineLevel="1">
      <c r="A99" s="21"/>
      <c r="B99" s="21" t="s">
        <v>423</v>
      </c>
      <c r="C99" s="21"/>
      <c r="D99" s="21"/>
      <c r="E99" s="41"/>
      <c r="F99" s="28"/>
    </row>
    <row r="100" s="22" customFormat="1" hidden="1" outlineLevel="1">
      <c r="A100" s="21"/>
      <c r="B100" s="21" t="s">
        <v>424</v>
      </c>
      <c r="C100" s="21"/>
      <c r="D100" s="21"/>
      <c r="E100" s="41"/>
      <c r="F100" s="28"/>
    </row>
    <row r="101" s="22" customFormat="1" hidden="1" outlineLevel="1">
      <c r="A101" s="21"/>
      <c r="B101" s="21" t="s">
        <v>425</v>
      </c>
      <c r="C101" s="21"/>
      <c r="D101" s="21"/>
      <c r="E101" s="41"/>
      <c r="F101" s="28"/>
    </row>
    <row r="102" s="22" customFormat="1" hidden="1" outlineLevel="1">
      <c r="A102" s="21"/>
      <c r="B102" s="21" t="s">
        <v>426</v>
      </c>
      <c r="C102" s="21"/>
      <c r="D102" s="21"/>
      <c r="E102" s="41"/>
      <c r="F102" s="28"/>
    </row>
    <row r="103" s="22" customFormat="1" hidden="1" outlineLevel="1">
      <c r="A103" s="21"/>
      <c r="B103" s="21" t="s">
        <v>427</v>
      </c>
      <c r="C103" s="21"/>
      <c r="D103" s="21"/>
      <c r="E103" s="41"/>
      <c r="F103" s="28"/>
    </row>
    <row r="104">
      <c r="A104" s="16" t="s">
        <v>467</v>
      </c>
      <c r="B104" s="16" t="s">
        <v>456</v>
      </c>
      <c r="C104" s="16">
        <v>3.0</v>
      </c>
      <c r="D104" s="16">
        <v>30.0</v>
      </c>
      <c r="E104" s="40" t="s">
        <v>428</v>
      </c>
      <c r="F104" s="16">
        <v>3.0</v>
      </c>
    </row>
    <row r="105">
      <c r="A105" s="16" t="s">
        <v>468</v>
      </c>
      <c r="B105" s="16" t="s">
        <v>457</v>
      </c>
      <c r="C105" s="16">
        <v>3.0</v>
      </c>
      <c r="D105" s="16">
        <v>30.0</v>
      </c>
      <c r="E105" s="40" t="s">
        <v>428</v>
      </c>
      <c r="F105" s="16">
        <v>3.0</v>
      </c>
    </row>
    <row r="106">
      <c r="A106" s="16" t="s">
        <v>469</v>
      </c>
      <c r="B106" s="16" t="s">
        <v>458</v>
      </c>
      <c r="C106" s="16">
        <v>3.0</v>
      </c>
      <c r="D106" s="16">
        <v>30.0</v>
      </c>
      <c r="E106" s="40" t="s">
        <v>428</v>
      </c>
      <c r="F106" s="16">
        <v>3.0</v>
      </c>
    </row>
    <row r="107" collapsed="1">
      <c r="A107" s="16" t="s">
        <v>470</v>
      </c>
      <c r="B107" s="16" t="s">
        <v>429</v>
      </c>
      <c r="C107" s="16">
        <v>3.0</v>
      </c>
      <c r="D107" s="16">
        <v>15.0</v>
      </c>
      <c r="E107" s="40" t="s">
        <v>172</v>
      </c>
      <c r="F107" s="16">
        <v>3.0</v>
      </c>
    </row>
    <row r="108" collapsed="1">
      <c r="A108" s="16" t="s">
        <v>471</v>
      </c>
      <c r="B108" s="16" t="s">
        <v>442</v>
      </c>
      <c r="C108" s="16">
        <v>3.0</v>
      </c>
      <c r="D108" s="16">
        <v>15.0</v>
      </c>
      <c r="E108" s="40" t="s">
        <v>443</v>
      </c>
      <c r="F108" s="16">
        <v>3.0</v>
      </c>
    </row>
    <row r="109" s="22" customFormat="1" hidden="1" outlineLevel="1">
      <c r="A109" s="21"/>
      <c r="B109" s="21" t="s">
        <v>444</v>
      </c>
      <c r="C109" s="21"/>
      <c r="D109" s="21"/>
      <c r="E109" s="41"/>
      <c r="F109" s="28"/>
    </row>
    <row r="110" s="22" customFormat="1" hidden="1" outlineLevel="1">
      <c r="A110" s="21"/>
      <c r="B110" s="21" t="s">
        <v>445</v>
      </c>
      <c r="C110" s="21"/>
      <c r="D110" s="21"/>
      <c r="E110" s="41"/>
      <c r="F110" s="28"/>
    </row>
    <row r="111" s="22" customFormat="1" hidden="1" outlineLevel="1">
      <c r="A111" s="21"/>
      <c r="B111" s="21" t="s">
        <v>446</v>
      </c>
      <c r="C111" s="21"/>
      <c r="D111" s="21"/>
      <c r="E111" s="41"/>
      <c r="F111" s="28"/>
    </row>
    <row r="112" s="22" customFormat="1" hidden="1" outlineLevel="1">
      <c r="A112" s="21"/>
      <c r="B112" s="21" t="s">
        <v>447</v>
      </c>
      <c r="C112" s="21"/>
      <c r="D112" s="21"/>
      <c r="E112" s="41"/>
      <c r="F112" s="28"/>
    </row>
    <row r="113" collapsed="1">
      <c r="A113" s="16" t="s">
        <v>472</v>
      </c>
      <c r="B113" s="16" t="s">
        <v>448</v>
      </c>
      <c r="C113" s="16">
        <v>3.0</v>
      </c>
      <c r="D113" s="16">
        <v>20.0</v>
      </c>
      <c r="E113" s="40" t="s">
        <v>449</v>
      </c>
      <c r="F113" s="16">
        <v>3.0</v>
      </c>
    </row>
    <row r="114" s="22" customFormat="1" hidden="1" outlineLevel="1">
      <c r="A114" s="21"/>
      <c r="B114" s="21" t="s">
        <v>450</v>
      </c>
      <c r="C114" s="21"/>
      <c r="D114" s="21"/>
      <c r="E114" s="41"/>
      <c r="F114" s="21"/>
    </row>
    <row r="115" s="22" customFormat="1" hidden="1" outlineLevel="1">
      <c r="A115" s="21"/>
      <c r="B115" s="21" t="s">
        <v>451</v>
      </c>
      <c r="C115" s="21"/>
      <c r="D115" s="21"/>
      <c r="E115" s="41"/>
      <c r="F115" s="21"/>
    </row>
    <row r="116">
      <c r="A116" s="3"/>
      <c r="B116" s="8"/>
      <c r="C116" s="3"/>
      <c r="D116" s="3"/>
      <c r="E116" s="42"/>
      <c r="F116" s="12"/>
    </row>
    <row r="117">
      <c r="A117" s="3"/>
      <c r="B117" s="4" t="str">
        <f>Java!B205</f>
        <v>Базы данных</v>
      </c>
      <c r="C117" s="4">
        <f>Java!C205</f>
        <v>9.0</v>
      </c>
      <c r="D117" s="4">
        <f>Java!D205</f>
        <v>90.0</v>
      </c>
      <c r="E117" s="42"/>
      <c r="F117" s="12"/>
    </row>
    <row r="118" collapsed="1">
      <c r="A118" s="3" t="str">
        <f>Java!A206</f>
        <v>B1</v>
      </c>
      <c r="B118" s="8" t="str">
        <f>Java!B206</f>
        <v>Основные понятия</v>
      </c>
      <c r="C118" s="3">
        <f>Java!C206</f>
        <v>2.0</v>
      </c>
      <c r="D118" s="3">
        <f>Java!D206</f>
        <v>20.0</v>
      </c>
      <c r="E118" s="42"/>
      <c r="F118" s="12"/>
    </row>
    <row r="119" hidden="1" outlineLevel="1">
      <c r="A119" s="3"/>
      <c r="B119" s="7" t="str">
        <f>Java!B207</f>
        <v>Типы данных</v>
      </c>
      <c r="C119" s="3"/>
      <c r="D119" s="3"/>
      <c r="E119" s="42"/>
      <c r="F119" s="12"/>
    </row>
    <row r="120" hidden="1" outlineLevel="1">
      <c r="A120" s="3"/>
      <c r="B120" s="7" t="str">
        <f>Java!B208</f>
        <v>Нормализация и денормализация</v>
      </c>
      <c r="C120" s="3"/>
      <c r="D120" s="3"/>
      <c r="E120" s="42"/>
      <c r="F120" s="12"/>
    </row>
    <row r="121" hidden="1" outlineLevel="1">
      <c r="A121" s="3"/>
      <c r="B121" s="7" t="str">
        <f>Java!B209</f>
        <v>Ключи</v>
      </c>
      <c r="C121" s="3"/>
      <c r="D121" s="3"/>
      <c r="E121" s="42"/>
      <c r="F121" s="12"/>
    </row>
    <row r="122" hidden="1" outlineLevel="1">
      <c r="A122" s="3"/>
      <c r="B122" s="7" t="str">
        <f>Java!B210</f>
        <v>Блокировки</v>
      </c>
      <c r="C122" s="3"/>
      <c r="D122" s="3"/>
      <c r="E122" s="42"/>
      <c r="F122" s="12"/>
    </row>
    <row r="123" hidden="1" outlineLevel="1">
      <c r="A123" s="3"/>
      <c r="B123" s="7" t="str">
        <f>Java!B211</f>
        <v>Транзакции</v>
      </c>
      <c r="C123" s="3"/>
      <c r="D123" s="3"/>
      <c r="E123" s="42"/>
      <c r="F123" s="12"/>
    </row>
    <row r="124" collapsed="1">
      <c r="A124" s="3" t="str">
        <f>Java!A212</f>
        <v>B2</v>
      </c>
      <c r="B124" s="3" t="str">
        <f>Java!B212</f>
        <v>Объекты БД</v>
      </c>
      <c r="C124" s="3">
        <f>Java!C212</f>
        <v>2.0</v>
      </c>
      <c r="D124" s="3">
        <f>Java!D212</f>
        <v>20.0</v>
      </c>
      <c r="E124" s="43"/>
      <c r="F124" s="12"/>
    </row>
    <row r="125" hidden="1" outlineLevel="1">
      <c r="A125" s="3"/>
      <c r="B125" s="9" t="str">
        <f>Java!B213</f>
        <v>Создание и изменение.</v>
      </c>
      <c r="C125" s="3"/>
      <c r="D125" s="3"/>
      <c r="E125" s="43"/>
      <c r="F125" s="12"/>
    </row>
    <row r="126" hidden="1" outlineLevel="1">
      <c r="A126" s="3"/>
      <c r="B126" s="9" t="str">
        <f>Java!B214</f>
        <v>Хранимые процедуры и триггеры</v>
      </c>
      <c r="C126" s="3"/>
      <c r="D126" s="3"/>
      <c r="E126" s="43"/>
      <c r="F126" s="12"/>
    </row>
    <row r="127" hidden="1" outlineLevel="1">
      <c r="A127" s="3"/>
      <c r="B127" s="9" t="str">
        <f>Java!B215</f>
        <v>Права доступа</v>
      </c>
      <c r="C127" s="3"/>
      <c r="D127" s="3"/>
      <c r="E127" s="43"/>
      <c r="F127" s="12"/>
    </row>
    <row r="128" collapsed="1">
      <c r="A128" s="3" t="str">
        <f>Java!A216</f>
        <v>B3</v>
      </c>
      <c r="B128" s="3" t="str">
        <f>Java!B216</f>
        <v>Оптимизация производительности</v>
      </c>
      <c r="C128" s="3">
        <f>Java!C216</f>
        <v>2.0</v>
      </c>
      <c r="D128" s="3">
        <f>Java!D216</f>
        <v>20.0</v>
      </c>
      <c r="E128" s="43"/>
      <c r="F128" s="12"/>
    </row>
    <row r="129" hidden="1" outlineLevel="1">
      <c r="A129" s="3"/>
      <c r="B129" s="9" t="str">
        <f>Java!B217</f>
        <v>Что такое индексы и их структура</v>
      </c>
      <c r="C129" s="3"/>
      <c r="D129" s="3"/>
      <c r="E129" s="43"/>
      <c r="F129" s="12"/>
    </row>
    <row r="130" hidden="1" outlineLevel="1">
      <c r="A130" s="3"/>
      <c r="B130" s="9" t="str">
        <f>Java!B218</f>
        <v>Как выделить необходимые индексы и создать их</v>
      </c>
      <c r="C130" s="3"/>
      <c r="D130" s="3"/>
      <c r="E130" s="42"/>
      <c r="F130" s="12"/>
    </row>
    <row r="131" hidden="1" outlineLevel="1">
      <c r="A131" s="3"/>
      <c r="B131" s="9" t="str">
        <f>Java!B219</f>
        <v>Навыки чтения плана запроса</v>
      </c>
      <c r="C131" s="3"/>
      <c r="D131" s="3"/>
      <c r="E131" s="42"/>
      <c r="F131" s="12"/>
    </row>
    <row r="132" collapsed="1">
      <c r="A132" s="3" t="str">
        <f>Java!A220</f>
        <v>B4</v>
      </c>
      <c r="B132" s="5" t="str">
        <f>Java!B220</f>
        <v>Простые SQL-запросы</v>
      </c>
      <c r="C132" s="3">
        <f>Java!C220</f>
        <v>1.0</v>
      </c>
      <c r="D132" s="3">
        <f>Java!D220</f>
        <v>15.0</v>
      </c>
      <c r="E132" s="42"/>
      <c r="F132" s="12"/>
    </row>
    <row r="133" hidden="1" outlineLevel="1">
      <c r="A133" s="3"/>
      <c r="B133" s="7" t="str">
        <f>Java!B221</f>
        <v>Выборка данных</v>
      </c>
      <c r="C133" s="3"/>
      <c r="D133" s="3"/>
      <c r="E133" s="42"/>
      <c r="F133" s="12"/>
    </row>
    <row r="134" hidden="1" outlineLevel="1">
      <c r="A134" s="3"/>
      <c r="B134" s="7" t="str">
        <f>Java!B222</f>
        <v>Изменение данных</v>
      </c>
      <c r="C134" s="3"/>
      <c r="D134" s="3"/>
      <c r="E134" s="42"/>
      <c r="F134" s="12"/>
    </row>
    <row r="135" collapsed="1">
      <c r="A135" s="3" t="str">
        <f>Java!A223</f>
        <v>B5</v>
      </c>
      <c r="B135" s="10" t="str">
        <f>Java!B223</f>
        <v>Продвинутый SQL</v>
      </c>
      <c r="C135" s="3">
        <f>Java!C223</f>
        <v>2.0</v>
      </c>
      <c r="D135" s="3">
        <f>Java!D223</f>
        <v>15.0</v>
      </c>
      <c r="E135" s="42"/>
      <c r="F135" s="12"/>
    </row>
    <row r="136" hidden="1" outlineLevel="1">
      <c r="A136" s="3"/>
      <c r="B136" s="7" t="str">
        <f>Java!B224</f>
        <v>sub - queries</v>
      </c>
      <c r="C136" s="3"/>
      <c r="D136" s="3"/>
      <c r="E136" s="42"/>
      <c r="F136" s="12"/>
    </row>
    <row r="137" hidden="1" outlineLevel="1">
      <c r="A137" s="3"/>
      <c r="B137" s="7" t="str">
        <f>Java!B225</f>
        <v>агрегатные ф-ции</v>
      </c>
      <c r="C137" s="3"/>
      <c r="D137" s="3"/>
      <c r="E137" s="42"/>
      <c r="F137" s="12"/>
    </row>
    <row r="138" hidden="1" outlineLevel="1">
      <c r="A138" s="3"/>
      <c r="B138" s="7" t="str">
        <f>Java!B226</f>
        <v>union</v>
      </c>
      <c r="C138" s="3"/>
      <c r="D138" s="3"/>
      <c r="E138" s="42"/>
      <c r="F138" s="12"/>
    </row>
    <row r="139" hidden="1" outlineLevel="1">
      <c r="A139" s="3"/>
      <c r="B139" s="7" t="str">
        <f>Java!B227</f>
        <v>аналитические ф-ции</v>
      </c>
      <c r="C139" s="3"/>
      <c r="D139" s="3"/>
      <c r="E139" s="43"/>
      <c r="F139" s="12"/>
    </row>
    <row r="140" hidden="1" outlineLevel="1">
      <c r="A140" s="3"/>
      <c r="B140" s="7" t="str">
        <f>Java!B228</f>
        <v>рекурсия</v>
      </c>
      <c r="C140" s="3"/>
      <c r="D140" s="3"/>
      <c r="E140" s="42"/>
      <c r="F140" s="12"/>
    </row>
    <row r="141">
      <c r="A141" s="3"/>
      <c r="B141" s="3"/>
      <c r="C141" s="3"/>
      <c r="D141" s="3"/>
      <c r="E141" s="42"/>
      <c r="F141" s="12"/>
    </row>
    <row r="142">
      <c r="A142" s="3"/>
      <c r="B142" s="4" t="str">
        <f>Java!B230</f>
        <v>WEB</v>
      </c>
      <c r="C142" s="4">
        <f>SUM(C143:C159)</f>
        <v>7.0</v>
      </c>
      <c r="D142" s="4">
        <f>SUM(D143:D159)</f>
        <v>80.0</v>
      </c>
      <c r="E142" s="42"/>
      <c r="F142" s="12"/>
    </row>
    <row r="143">
      <c r="A143" s="3" t="str">
        <f>Java!A231</f>
        <v>W1</v>
      </c>
      <c r="B143" s="5" t="str">
        <f>Java!B231</f>
        <v>Протокол HTTP</v>
      </c>
      <c r="C143" s="3">
        <f>Java!C231</f>
        <v>1.0</v>
      </c>
      <c r="D143" s="3">
        <v>15.0</v>
      </c>
      <c r="E143" s="42"/>
      <c r="F143" s="12"/>
    </row>
    <row r="144" collapsed="1">
      <c r="A144" s="3" t="str">
        <f>Java!A232</f>
        <v>W2</v>
      </c>
      <c r="B144" s="5" t="str">
        <f>Java!B232</f>
        <v>Основы HTML</v>
      </c>
      <c r="C144" s="3">
        <f>Java!C232</f>
        <v>1.0</v>
      </c>
      <c r="D144" s="3">
        <f>Java!D232</f>
        <v>10.0</v>
      </c>
      <c r="E144" s="43"/>
      <c r="F144" s="12"/>
    </row>
    <row r="145" hidden="1" outlineLevel="1">
      <c r="A145" s="3"/>
      <c r="B145" s="7" t="str">
        <f>Java!B233</f>
        <v>Структура HTML документа</v>
      </c>
      <c r="C145" s="3"/>
      <c r="D145" s="3"/>
      <c r="E145" s="42"/>
      <c r="F145" s="12"/>
    </row>
    <row r="146" hidden="1" outlineLevel="1">
      <c r="A146" s="3"/>
      <c r="B146" s="7" t="str">
        <f>Java!B234</f>
        <v>Тэги. Типы тэгов (парные и одиночные тэги различных групп), правила применения</v>
      </c>
      <c r="C146" s="3"/>
      <c r="D146" s="3"/>
      <c r="E146" s="42"/>
      <c r="F146" s="12"/>
    </row>
    <row r="147" hidden="1" outlineLevel="1">
      <c r="A147" s="3"/>
      <c r="B147" s="7" t="str">
        <f>Java!B235</f>
        <v>Атрибуты тэгов</v>
      </c>
      <c r="C147" s="3"/>
      <c r="D147" s="3"/>
      <c r="E147" s="42"/>
      <c r="F147" s="12"/>
    </row>
    <row r="148" hidden="1" outlineLevel="1">
      <c r="A148" s="3"/>
      <c r="B148" s="7" t="str">
        <f>Java!B236</f>
        <v>Отображение текста</v>
      </c>
      <c r="C148" s="3"/>
      <c r="D148" s="3"/>
      <c r="E148" s="42"/>
      <c r="F148" s="12"/>
    </row>
    <row r="149" hidden="1" outlineLevel="1">
      <c r="A149" s="3"/>
      <c r="B149" s="7" t="str">
        <f>Java!B237</f>
        <v>Тэг &lt;form&gt;.Тэг &lt;input&gt;</v>
      </c>
      <c r="C149" s="3"/>
      <c r="D149" s="3"/>
      <c r="E149" s="42"/>
      <c r="F149" s="12"/>
    </row>
    <row r="150" collapsed="1">
      <c r="A150" s="3" t="str">
        <f>Java!A238</f>
        <v>W3</v>
      </c>
      <c r="B150" s="3" t="str">
        <f>Java!B238</f>
        <v>Продвинутый HTML</v>
      </c>
      <c r="C150" s="3">
        <f>Java!C238</f>
        <v>2.0</v>
      </c>
      <c r="D150" s="3">
        <v>20.0</v>
      </c>
      <c r="E150" s="42"/>
      <c r="F150" s="12"/>
    </row>
    <row r="151" hidden="1" outlineLevel="1">
      <c r="A151" s="3"/>
      <c r="B151" s="9" t="str">
        <f>Java!B239</f>
        <v>Понятие и способы вёрстки.</v>
      </c>
      <c r="C151" s="3"/>
      <c r="D151" s="3"/>
      <c r="E151" s="42"/>
      <c r="F151" s="12"/>
    </row>
    <row r="152" hidden="1" outlineLevel="1">
      <c r="A152" s="3"/>
      <c r="B152" s="9" t="str">
        <f>Java!B240</f>
        <v>Кросс-браузерная верстка</v>
      </c>
      <c r="C152" s="3"/>
      <c r="D152" s="3"/>
      <c r="E152" s="42"/>
      <c r="F152" s="12"/>
    </row>
    <row r="153" collapsed="1">
      <c r="A153" s="3" t="str">
        <f>Java!A241</f>
        <v>W4</v>
      </c>
      <c r="B153" s="5" t="str">
        <f>Java!B241</f>
        <v>Основы CSS</v>
      </c>
      <c r="C153" s="3">
        <f>Java!C241</f>
        <v>1.0</v>
      </c>
      <c r="D153" s="3">
        <f>Java!D241</f>
        <v>10.0</v>
      </c>
      <c r="E153" s="42"/>
      <c r="F153" s="12"/>
    </row>
    <row r="154" hidden="1" outlineLevel="1">
      <c r="A154" s="3"/>
      <c r="B154" s="7" t="str">
        <f>Java!B242</f>
        <v>Что такое стили.</v>
      </c>
      <c r="C154" s="3"/>
      <c r="D154" s="3"/>
      <c r="E154" s="42"/>
      <c r="F154" s="12"/>
    </row>
    <row r="155" hidden="1" outlineLevel="1">
      <c r="A155" s="3"/>
      <c r="B155" s="7" t="str">
        <f>Java!B243</f>
        <v>Наиболее существенные плюсы использования стилей</v>
      </c>
      <c r="C155" s="3"/>
      <c r="D155" s="3"/>
      <c r="E155" s="42"/>
      <c r="F155" s="12"/>
    </row>
    <row r="156" hidden="1" outlineLevel="1">
      <c r="A156" s="3"/>
      <c r="B156" s="7" t="str">
        <f>Java!B244</f>
        <v>Способы описания/добавления стилей на страницу.</v>
      </c>
      <c r="C156" s="3"/>
      <c r="D156" s="3"/>
      <c r="E156" s="42"/>
      <c r="F156" s="12"/>
    </row>
    <row r="157" hidden="1" outlineLevel="1">
      <c r="A157" s="3"/>
      <c r="B157" s="7" t="str">
        <f>Java!B245</f>
        <v>Группирование, наследование, каскадирование</v>
      </c>
      <c r="C157" s="3"/>
      <c r="D157" s="3"/>
      <c r="E157" s="43"/>
      <c r="F157" s="12"/>
    </row>
    <row r="158" hidden="1" outlineLevel="1">
      <c r="A158" s="3"/>
      <c r="B158" s="7" t="str">
        <f>Java!B246</f>
        <v>Базовый синтаксис CSS</v>
      </c>
      <c r="C158" s="3"/>
      <c r="D158" s="3"/>
      <c r="E158" s="42"/>
      <c r="F158" s="12"/>
    </row>
    <row r="159">
      <c r="A159" s="3" t="str">
        <f>Java!A247</f>
        <v>W5</v>
      </c>
      <c r="B159" s="3" t="str">
        <f>Java!B247</f>
        <v>Продвинутый CSS</v>
      </c>
      <c r="C159" s="3">
        <f>Java!C247</f>
        <v>2.0</v>
      </c>
      <c r="D159" s="3">
        <v>25.0</v>
      </c>
      <c r="E159" s="42"/>
      <c r="F159" s="12"/>
    </row>
    <row r="160" outlineLevel="1">
      <c r="A160" s="3"/>
      <c r="B160" s="9" t="str">
        <f>Java!B248</f>
        <v>Задание значений свойств стилей (цвет, размер, строка и т.д.)</v>
      </c>
      <c r="C160" s="3"/>
      <c r="D160" s="3"/>
      <c r="E160" s="42"/>
      <c r="F160" s="12"/>
    </row>
    <row r="161" outlineLevel="1">
      <c r="A161" s="3"/>
      <c r="B161" s="9" t="str">
        <f>Java!B249</f>
        <v>Селекторы тэгов, классов, идентификаторов, атрибутов, контекстные, соседние, дочерние и т.д.</v>
      </c>
      <c r="C161" s="3"/>
      <c r="D161" s="3"/>
      <c r="E161" s="42"/>
      <c r="F161" s="12"/>
    </row>
    <row r="162" outlineLevel="1">
      <c r="A162" s="3"/>
      <c r="B162" s="9" t="str">
        <f>Java!B250</f>
        <v>Методологии CSS</v>
      </c>
      <c r="C162" s="3"/>
      <c r="D162" s="3"/>
      <c r="E162" s="43"/>
      <c r="F162" s="12"/>
    </row>
    <row r="163">
      <c r="A163" s="3"/>
      <c r="B163" s="3"/>
      <c r="C163" s="3"/>
      <c r="D163" s="3"/>
      <c r="E163" s="42"/>
      <c r="F163" s="12"/>
    </row>
    <row r="164">
      <c r="A164" s="3"/>
      <c r="B164" s="4" t="str">
        <f>Java!B268</f>
        <v>Другие знания</v>
      </c>
      <c r="C164" s="4">
        <f>Java!C268</f>
        <v>9.0</v>
      </c>
      <c r="D164" s="4">
        <f>Java!D268</f>
        <v>60.0</v>
      </c>
      <c r="E164" s="42"/>
      <c r="F164" s="12"/>
    </row>
    <row r="165" collapsed="1">
      <c r="A165" s="3" t="str">
        <f>Java!A269</f>
        <v>T1</v>
      </c>
      <c r="B165" s="3" t="str">
        <f>Java!B269</f>
        <v>Командная оболочка CMD (Windows)</v>
      </c>
      <c r="C165" s="3">
        <f>Java!C269</f>
        <v>1.0</v>
      </c>
      <c r="D165" s="3">
        <f>Java!D269</f>
        <v>5.0</v>
      </c>
      <c r="E165" s="42"/>
      <c r="F165" s="12"/>
    </row>
    <row r="166" hidden="1" outlineLevel="1">
      <c r="A166" s="3"/>
      <c r="B166" s="9" t="str">
        <f>Java!B270</f>
        <v>Основные команды CMD</v>
      </c>
      <c r="C166" s="3"/>
      <c r="D166" s="3"/>
      <c r="E166" s="42"/>
      <c r="F166" s="12"/>
    </row>
    <row r="167" hidden="1" outlineLevel="1">
      <c r="A167" s="3"/>
      <c r="B167" s="9" t="str">
        <f>Java!B271</f>
        <v>Запуск команд/выполняемых/пакетных файлов</v>
      </c>
      <c r="C167" s="3"/>
      <c r="D167" s="3"/>
      <c r="E167" s="42"/>
      <c r="F167" s="12"/>
    </row>
    <row r="168" hidden="1" outlineLevel="1">
      <c r="A168" s="3"/>
      <c r="B168" s="9" t="str">
        <f>Java!B272</f>
        <v>Команды работы с файлами и директориями</v>
      </c>
      <c r="C168" s="3"/>
      <c r="D168" s="3"/>
      <c r="E168" s="42"/>
      <c r="F168" s="12"/>
    </row>
    <row r="169" hidden="1" outlineLevel="1">
      <c r="A169" s="3"/>
      <c r="B169" s="9" t="str">
        <f>Java!B273</f>
        <v>Команды для использования в пакетных файлах, передача параметров в пакетный файл</v>
      </c>
      <c r="C169" s="3"/>
      <c r="D169" s="3"/>
      <c r="E169" s="42"/>
      <c r="F169" s="12"/>
    </row>
    <row r="170" hidden="1" outlineLevel="1">
      <c r="A170" s="3"/>
      <c r="B170" s="9" t="str">
        <f>Java!B274</f>
        <v>Работа с процессами</v>
      </c>
      <c r="C170" s="3"/>
      <c r="D170" s="3"/>
      <c r="E170" s="42"/>
      <c r="F170" s="12"/>
    </row>
    <row r="171" collapsed="1">
      <c r="A171" s="3" t="str">
        <f>Java!A275</f>
        <v>T2</v>
      </c>
      <c r="B171" s="3" t="str">
        <f>Java!B275</f>
        <v>Командная оболочка Bash (Linux)</v>
      </c>
      <c r="C171" s="3">
        <f>Java!C275</f>
        <v>2.0</v>
      </c>
      <c r="D171" s="3">
        <f>Java!D275</f>
        <v>5.0</v>
      </c>
      <c r="E171" s="42"/>
      <c r="F171" s="12"/>
    </row>
    <row r="172" hidden="1" outlineLevel="1">
      <c r="A172" s="3"/>
      <c r="B172" s="9" t="str">
        <f>Java!B276</f>
        <v>Основные команды Bash</v>
      </c>
      <c r="C172" s="3"/>
      <c r="D172" s="3"/>
      <c r="E172" s="42"/>
      <c r="F172" s="12"/>
    </row>
    <row r="173" hidden="1" outlineLevel="1">
      <c r="A173" s="3"/>
      <c r="B173" s="9" t="str">
        <f>Java!B277</f>
        <v>Запуск команд/выполняемых/пакетных файлов</v>
      </c>
      <c r="C173" s="3"/>
      <c r="D173" s="3"/>
      <c r="E173" s="42"/>
      <c r="F173" s="12"/>
    </row>
    <row r="174" hidden="1" outlineLevel="1">
      <c r="A174" s="3"/>
      <c r="B174" s="9" t="str">
        <f>Java!B278</f>
        <v>Команды работы с файлами и директориями</v>
      </c>
      <c r="C174" s="3"/>
      <c r="D174" s="3"/>
      <c r="E174" s="42"/>
      <c r="F174" s="12"/>
    </row>
    <row r="175" hidden="1" outlineLevel="1">
      <c r="A175" s="3"/>
      <c r="B175" s="9" t="str">
        <f>Java!B279</f>
        <v>Команды для использования в пакетных файлах, передача параметров в пакетный файл</v>
      </c>
      <c r="C175" s="3"/>
      <c r="D175" s="3"/>
      <c r="E175" s="42"/>
      <c r="F175" s="12"/>
    </row>
    <row r="176" hidden="1" outlineLevel="1">
      <c r="A176" s="3"/>
      <c r="B176" s="9" t="str">
        <f>Java!B280</f>
        <v>Работа с процессами</v>
      </c>
      <c r="C176" s="3"/>
      <c r="D176" s="3"/>
      <c r="E176" s="42"/>
      <c r="F176" s="12"/>
    </row>
    <row r="177" collapsed="1">
      <c r="A177" s="3" t="str">
        <f>Java!A281</f>
        <v>T3</v>
      </c>
      <c r="B177" s="3" t="str">
        <f>Java!B281</f>
        <v>Язык XML</v>
      </c>
      <c r="C177" s="3">
        <f>Java!C281</f>
        <v>1.0</v>
      </c>
      <c r="D177" s="3">
        <f>Java!D281</f>
        <v>10.0</v>
      </c>
      <c r="E177" s="42"/>
      <c r="F177" s="12"/>
    </row>
    <row r="178" hidden="1" outlineLevel="1">
      <c r="A178" s="3"/>
      <c r="B178" s="9" t="str">
        <f>Java!B282</f>
        <v>Синтаксис и структура</v>
      </c>
      <c r="C178" s="3"/>
      <c r="D178" s="3"/>
      <c r="E178" s="42"/>
      <c r="F178" s="12"/>
    </row>
    <row r="179" hidden="1" outlineLevel="1">
      <c r="A179" s="3"/>
      <c r="B179" s="9" t="str">
        <f>Java!B283</f>
        <v>Схемы</v>
      </c>
      <c r="C179" s="3"/>
      <c r="D179" s="3"/>
      <c r="E179" s="42"/>
      <c r="F179" s="12"/>
    </row>
    <row r="180" hidden="1" outlineLevel="1">
      <c r="A180" s="3"/>
      <c r="B180" s="9" t="str">
        <f>Java!B284</f>
        <v>Namespaces</v>
      </c>
      <c r="C180" s="3"/>
      <c r="D180" s="3"/>
      <c r="E180" s="42"/>
      <c r="F180" s="12"/>
    </row>
    <row r="181" hidden="1" outlineLevel="1">
      <c r="A181" s="3"/>
      <c r="B181" s="9" t="str">
        <f>Java!B285</f>
        <v>XSLT</v>
      </c>
      <c r="C181" s="3"/>
      <c r="D181" s="3"/>
      <c r="E181" s="42"/>
      <c r="F181" s="12"/>
    </row>
    <row r="182">
      <c r="A182" s="3" t="str">
        <f>Java!A286</f>
        <v>T4</v>
      </c>
      <c r="B182" s="3" t="str">
        <f>Java!B286</f>
        <v>Регулярные выражения</v>
      </c>
      <c r="C182" s="3">
        <f>Java!C286</f>
        <v>1.0</v>
      </c>
      <c r="D182" s="3">
        <f>Java!D286</f>
        <v>10.0</v>
      </c>
      <c r="E182" s="42"/>
      <c r="F182" s="12"/>
    </row>
    <row r="183" collapsed="1">
      <c r="A183" s="3" t="str">
        <f>Java!A287</f>
        <v>T5</v>
      </c>
      <c r="B183" s="8" t="str">
        <f>Java!B287</f>
        <v>Тесты</v>
      </c>
      <c r="C183" s="3">
        <f>Java!C287</f>
        <v>1.0</v>
      </c>
      <c r="D183" s="3">
        <f>Java!D287</f>
        <v>10.0</v>
      </c>
      <c r="E183" s="42"/>
      <c r="F183" s="12"/>
    </row>
    <row r="184" hidden="1" outlineLevel="1">
      <c r="A184" s="3"/>
      <c r="B184" s="7" t="str">
        <f>Java!B288</f>
        <v>unit-тесты</v>
      </c>
      <c r="C184" s="3"/>
      <c r="D184" s="3"/>
      <c r="E184" s="42"/>
      <c r="F184" s="12"/>
    </row>
    <row r="185" hidden="1" outlineLevel="1">
      <c r="A185" s="3"/>
      <c r="B185" s="7" t="str">
        <f>Java!B289</f>
        <v>функциональные тесты</v>
      </c>
      <c r="C185" s="3"/>
      <c r="D185" s="3"/>
      <c r="E185" s="42"/>
      <c r="F185" s="12"/>
    </row>
    <row r="186" hidden="1" outlineLevel="1">
      <c r="A186" s="3"/>
      <c r="B186" s="7" t="str">
        <f>Java!B290</f>
        <v>интеграционные тесты</v>
      </c>
      <c r="C186" s="3"/>
      <c r="D186" s="3"/>
      <c r="E186" s="42"/>
      <c r="F186" s="12"/>
    </row>
    <row r="187" hidden="1" outlineLevel="1">
      <c r="A187" s="3"/>
      <c r="B187" s="7" t="str">
        <f>Java!B291</f>
        <v>смоук и нагрузочные тесты</v>
      </c>
      <c r="C187" s="3"/>
      <c r="D187" s="3"/>
      <c r="E187" s="42"/>
      <c r="F187" s="12"/>
    </row>
    <row r="188" collapsed="1">
      <c r="A188" s="3" t="str">
        <f>Java!A292</f>
        <v>T6</v>
      </c>
      <c r="B188" s="3" t="str">
        <f>Java!B292</f>
        <v>Безопасность и методы защиты приложений</v>
      </c>
      <c r="C188" s="3">
        <f>Java!C292</f>
        <v>2.0</v>
      </c>
      <c r="D188" s="3">
        <f>Java!D292</f>
        <v>20.0</v>
      </c>
      <c r="E188" s="42"/>
      <c r="F188" s="12"/>
    </row>
    <row r="189" hidden="1" outlineLevel="1">
      <c r="A189" s="3"/>
      <c r="B189" s="9" t="str">
        <f>Java!B293</f>
        <v>Injections - внедрение специального кода в приложение при недостаточной/отсутствующей проверке данных от пользователя.</v>
      </c>
      <c r="C189" s="3"/>
      <c r="D189" s="3"/>
      <c r="E189" s="42"/>
      <c r="F189" s="12"/>
    </row>
    <row r="190" hidden="1" outlineLevel="1">
      <c r="A190" s="3"/>
      <c r="B190" s="9" t="str">
        <f>Java!B294</f>
        <v>Broken Authentication and Session Management - неправильная реализация механизмов аутентификации и сессий, позволяющая злоумыщленникам скомпрометивать пароли, ключи, токены сессий или другие уязвимости реализации для установления контроля над аккаунтами других пользователей.</v>
      </c>
      <c r="C190" s="3"/>
      <c r="D190" s="3"/>
      <c r="E190" s="42"/>
      <c r="F190" s="12"/>
    </row>
    <row r="191" hidden="1" outlineLevel="1">
      <c r="A191" s="3"/>
      <c r="B191" s="9" t="str">
        <f>Java!B295</f>
        <v>XSS(Cross Site Scripting) - передача вредоносного кода пользователю без достаточной валидации/эскейпинга со стороны приложения. Позволяет злоумышленникам запускать вредоносный код на стороне пользователя (кража сессий, кража введенных пользовательских данных, изменение данных доступных пользователю, перенаправление на вредоносные сайты).</v>
      </c>
      <c r="C191" s="3"/>
      <c r="D191" s="3"/>
      <c r="E191" s="42"/>
      <c r="F191" s="12"/>
    </row>
    <row r="192" hidden="1" outlineLevel="1">
      <c r="A192" s="3"/>
      <c r="B192" s="9" t="str">
        <f>Java!B296</f>
        <v>Insecure Direct Object References - раскрытие системных идентификаторов в комбинации с отсутствием проверок прав доступа позволяет злоумыщленнику получать доступ к данным других пользователей(всем данным приложения).</v>
      </c>
      <c r="C192" s="3"/>
      <c r="D192" s="3"/>
      <c r="E192" s="42"/>
      <c r="F192" s="12"/>
    </row>
    <row r="193" hidden="1" outlineLevel="1">
      <c r="A193" s="3"/>
      <c r="B193" s="9" t="str">
        <f>Java!B297</f>
        <v>Security Misconfiguration - неправильная настройка конфигурации безопасности компонентов инфраструктуры. Использование настроек по умолчанию. Использование устаревших компонентов.</v>
      </c>
      <c r="C193" s="3"/>
      <c r="D193" s="3"/>
      <c r="E193" s="42"/>
      <c r="F193" s="12"/>
    </row>
    <row r="194" hidden="1" outlineLevel="1">
      <c r="A194" s="3"/>
      <c r="B194" s="9" t="str">
        <f>Java!B298</f>
        <v>Missing Fгnction Level Access Control - отсутствие проверки прав доступа на уровне функций, позволяющая злоумышленникам подделывать запросы и получать доступ к приложению без соответствующей авторизации.</v>
      </c>
      <c r="C194" s="3"/>
      <c r="D194" s="3"/>
      <c r="E194" s="42"/>
      <c r="F194" s="12"/>
    </row>
    <row r="195" hidden="1" outlineLevel="1">
      <c r="A195" s="3"/>
      <c r="B195" s="9" t="str">
        <f>Java!B299</f>
        <v>CSRF/XSRF - при отсутствии дополнительных проверок на сервере, позволяет злоумышленнику выполнять различные действия на сервере от имени жертвы.</v>
      </c>
      <c r="C195" s="3"/>
      <c r="D195" s="3"/>
      <c r="E195" s="42"/>
      <c r="F195" s="12"/>
    </row>
    <row r="196" hidden="1" outlineLevel="1">
      <c r="A196" s="3"/>
      <c r="B196" s="9" t="str">
        <f>Java!B300</f>
        <v>Using Components with Known Vulnerabilities - использование устаревших компонентов, игнорирование обновлений безопасности.</v>
      </c>
      <c r="C196" s="3"/>
      <c r="D196" s="3"/>
      <c r="E196" s="42"/>
      <c r="F196" s="12"/>
    </row>
    <row r="197" hidden="1" outlineLevel="1">
      <c r="A197" s="3"/>
      <c r="B197" s="9" t="str">
        <f>Java!B301</f>
        <v>Unvalidated Redirects and Forwards - отсутствие проверок при редиректах на другие сайты или между компонентами одного сайта.</v>
      </c>
      <c r="C197" s="3"/>
      <c r="D197" s="3"/>
      <c r="E197" s="42"/>
      <c r="F197" s="12"/>
    </row>
    <row r="198" collapsed="1">
      <c r="A198" s="3" t="str">
        <f>Java!A302</f>
        <v>T7</v>
      </c>
      <c r="B198" s="13" t="str">
        <f>Java!B302</f>
        <v>VCS</v>
      </c>
      <c r="C198" s="3">
        <f>Java!C302</f>
        <v>1.0</v>
      </c>
      <c r="D198" s="3">
        <f>Java!D302</f>
        <v>20.0</v>
      </c>
      <c r="E198" s="42" t="s">
        <v>172</v>
      </c>
      <c r="F198" s="12"/>
    </row>
    <row r="199" hidden="1" outlineLevel="1">
      <c r="A199" s="3"/>
      <c r="B199" s="9" t="str">
        <f>Java!B303</f>
        <v>GIT</v>
      </c>
      <c r="C199" s="3"/>
      <c r="D199" s="3"/>
      <c r="E199" s="42"/>
      <c r="F199" s="12"/>
    </row>
    <row r="200" hidden="1" outlineLevel="1">
      <c r="A200" s="3"/>
      <c r="B200" s="9" t="str">
        <f>Java!B304</f>
        <v>SVN</v>
      </c>
      <c r="C200" s="3"/>
      <c r="D200" s="3"/>
      <c r="E200" s="42"/>
      <c r="F200" s="12"/>
    </row>
    <row r="201">
      <c r="A201" s="4" t="str">
        <f>Java!A305</f>
        <v>Итого</v>
      </c>
      <c r="B201" s="4"/>
      <c r="C201" s="4">
        <f>C2+C13+C22+C117+C142+C164</f>
        <v>96.0</v>
      </c>
      <c r="D201" s="4">
        <f>D2+D13+D22+D117+D142+D164</f>
        <v>840.0</v>
      </c>
      <c r="E201" s="42"/>
      <c r="F201" s="12"/>
    </row>
  </sheetData>
  <printOptions/>
  <pageMargins left="0.6740767578124998" right="0.6740767578124998" top="0.7222250976562498" bottom="0.7222250976562498" footer="0.2888900390625" header="0.2888900390625"/>
  <pageSetup paperSize="9" orientation="portrait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outlinePr/>
    <pageSetUpPr/>
  </sheetPr>
  <dimension ref="A1:F207"/>
  <sheetViews>
    <sheetView workbookViewId="0" zoomScaleNormal="100" zoomScaleSheetLayoutView="60">
      <selection activeCell="B52" sqref="B52"/>
    </sheetView>
  </sheetViews>
  <sheetFormatPr defaultRowHeight="15.0" outlineLevelRow="1"/>
  <cols>
    <col min="1" max="1" width="6.251953125" bestFit="1" customWidth="1"/>
    <col min="2" max="2" width="67.001953125" bestFit="1" customWidth="1"/>
    <col min="3" max="3" width="7.001953125" bestFit="1" customWidth="1"/>
    <col min="5" max="5" width="8.376953125" bestFit="1" customWidth="1"/>
    <col min="6" max="6" width="11.001953125" bestFit="1" customWidth="1"/>
  </cols>
  <sheetData>
    <row r="1" ht="45.0">
      <c r="A1" s="1" t="s">
        <v>0</v>
      </c>
      <c r="B1" s="1" t="s">
        <v>1</v>
      </c>
      <c r="C1" s="1" t="s">
        <v>2</v>
      </c>
      <c r="D1" s="2" t="s">
        <v>3</v>
      </c>
      <c r="E1" s="11" t="s">
        <v>171</v>
      </c>
      <c r="F1" s="1" t="s">
        <v>344</v>
      </c>
    </row>
    <row r="2">
      <c r="A2" s="3"/>
      <c r="B2" s="4" t="s">
        <v>4</v>
      </c>
      <c r="C2" s="4">
        <f>SUM(C3:C8)</f>
        <v>6.0</v>
      </c>
      <c r="D2" s="4">
        <f>SUM(D3:D8)</f>
        <v>30.0</v>
      </c>
      <c r="E2" s="27"/>
      <c r="F2" s="12"/>
    </row>
    <row r="3">
      <c r="A3" s="3" t="s">
        <v>5</v>
      </c>
      <c r="B3" s="3" t="s">
        <v>6</v>
      </c>
      <c r="C3" s="3">
        <v>1.0</v>
      </c>
      <c r="D3" s="3">
        <v>5.0</v>
      </c>
      <c r="E3" s="27"/>
      <c r="F3" s="12"/>
    </row>
    <row r="4" collapsed="1">
      <c r="A4" s="3" t="s">
        <v>7</v>
      </c>
      <c r="B4" s="5" t="s">
        <v>8</v>
      </c>
      <c r="C4" s="3">
        <v>3.0</v>
      </c>
      <c r="D4" s="6">
        <v>15.0</v>
      </c>
      <c r="E4" s="27"/>
      <c r="F4" s="12"/>
    </row>
    <row r="5" hidden="1" outlineLevel="1">
      <c r="A5" s="3"/>
      <c r="B5" s="7" t="s">
        <v>9</v>
      </c>
      <c r="C5" s="3"/>
      <c r="D5" s="6"/>
      <c r="E5" s="27"/>
      <c r="F5" s="12"/>
    </row>
    <row r="6" hidden="1" outlineLevel="1">
      <c r="A6" s="3"/>
      <c r="B6" s="7" t="s">
        <v>10</v>
      </c>
      <c r="C6" s="3"/>
      <c r="D6" s="6"/>
      <c r="E6" s="27"/>
      <c r="F6" s="12"/>
    </row>
    <row r="7" hidden="1" outlineLevel="1">
      <c r="A7" s="3"/>
      <c r="B7" s="7" t="s">
        <v>11</v>
      </c>
      <c r="C7" s="3"/>
      <c r="D7" s="6"/>
      <c r="E7" s="27"/>
      <c r="F7" s="12"/>
    </row>
    <row r="8" collapsed="1">
      <c r="A8" s="3" t="s">
        <v>12</v>
      </c>
      <c r="B8" s="8" t="s">
        <v>13</v>
      </c>
      <c r="C8" s="3">
        <v>2.0</v>
      </c>
      <c r="D8" s="3">
        <v>10.0</v>
      </c>
      <c r="E8" s="27"/>
      <c r="F8" s="12"/>
    </row>
    <row r="9" hidden="1" outlineLevel="1">
      <c r="A9" s="3"/>
      <c r="B9" s="7" t="s">
        <v>14</v>
      </c>
      <c r="C9" s="3"/>
      <c r="D9" s="3"/>
      <c r="E9" s="27"/>
      <c r="F9" s="12"/>
    </row>
    <row r="10" hidden="1" outlineLevel="1">
      <c r="A10" s="3"/>
      <c r="B10" s="9" t="s">
        <v>15</v>
      </c>
      <c r="C10" s="3"/>
      <c r="D10" s="3"/>
      <c r="E10" s="27"/>
      <c r="F10" s="12"/>
    </row>
    <row r="11" hidden="1" outlineLevel="1">
      <c r="A11" s="3"/>
      <c r="B11" s="9" t="s">
        <v>16</v>
      </c>
      <c r="C11" s="3"/>
      <c r="D11" s="3"/>
      <c r="E11" s="27"/>
      <c r="F11" s="12"/>
    </row>
    <row r="12">
      <c r="A12" s="3"/>
      <c r="B12" s="3"/>
      <c r="C12" s="3"/>
      <c r="D12" s="3"/>
      <c r="E12" s="27"/>
      <c r="F12" s="12"/>
    </row>
    <row r="13">
      <c r="A13" s="3"/>
      <c r="B13" s="4" t="s">
        <v>17</v>
      </c>
      <c r="C13" s="4">
        <f>SUM(C14,C20)</f>
        <v>3.0</v>
      </c>
      <c r="D13" s="4">
        <f>SUM(D14:D20)</f>
        <v>30.0</v>
      </c>
      <c r="E13" s="27"/>
      <c r="F13" s="12"/>
    </row>
    <row r="14" collapsed="1">
      <c r="A14" s="3" t="s">
        <v>18</v>
      </c>
      <c r="B14" s="5" t="s">
        <v>19</v>
      </c>
      <c r="C14" s="3">
        <v>1.0</v>
      </c>
      <c r="D14" s="3">
        <v>10.0</v>
      </c>
      <c r="E14" s="27"/>
      <c r="F14" s="12"/>
    </row>
    <row r="15" hidden="1" outlineLevel="1">
      <c r="A15" s="3"/>
      <c r="B15" s="7" t="s">
        <v>20</v>
      </c>
      <c r="C15" s="3"/>
      <c r="D15" s="3"/>
      <c r="E15" s="27"/>
      <c r="F15" s="12"/>
    </row>
    <row r="16" hidden="1" outlineLevel="1">
      <c r="A16" s="3"/>
      <c r="B16" s="7" t="s">
        <v>21</v>
      </c>
      <c r="C16" s="3"/>
      <c r="D16" s="3"/>
      <c r="E16" s="27"/>
      <c r="F16" s="12"/>
    </row>
    <row r="17" hidden="1" outlineLevel="1">
      <c r="A17" s="3"/>
      <c r="B17" s="7" t="s">
        <v>22</v>
      </c>
      <c r="C17" s="3"/>
      <c r="D17" s="3"/>
      <c r="E17" s="27"/>
      <c r="F17" s="12"/>
    </row>
    <row r="18" hidden="1" outlineLevel="1">
      <c r="A18" s="3"/>
      <c r="B18" s="7" t="s">
        <v>23</v>
      </c>
      <c r="C18" s="3"/>
      <c r="D18" s="3"/>
      <c r="E18" s="27"/>
      <c r="F18" s="12"/>
    </row>
    <row r="19" hidden="1" outlineLevel="1">
      <c r="A19" s="3"/>
      <c r="B19" s="7" t="s">
        <v>24</v>
      </c>
      <c r="C19" s="3"/>
      <c r="D19" s="3"/>
      <c r="E19" s="27"/>
      <c r="F19" s="12"/>
    </row>
    <row r="20">
      <c r="A20" s="3" t="s">
        <v>25</v>
      </c>
      <c r="B20" s="8" t="s">
        <v>26</v>
      </c>
      <c r="C20" s="3">
        <v>2.0</v>
      </c>
      <c r="D20" s="3">
        <v>20.0</v>
      </c>
      <c r="E20" s="27"/>
      <c r="F20" s="12"/>
    </row>
    <row r="21">
      <c r="A21" s="3"/>
      <c r="B21" s="8"/>
      <c r="C21" s="3"/>
      <c r="D21" s="3"/>
      <c r="E21" s="27"/>
      <c r="F21" s="12"/>
    </row>
    <row r="22">
      <c r="A22" s="3"/>
      <c r="B22" s="4" t="s">
        <v>544</v>
      </c>
      <c r="C22" s="4">
        <f>SUM(C23:C103)</f>
        <v>63.0</v>
      </c>
      <c r="D22" s="4">
        <f>SUM(D23:D103)</f>
        <v>550.0</v>
      </c>
      <c r="E22" s="27"/>
      <c r="F22" s="12"/>
    </row>
    <row r="23" collapsed="1">
      <c r="A23" s="14" t="s">
        <v>474</v>
      </c>
      <c r="B23" s="14" t="s">
        <v>475</v>
      </c>
      <c r="C23" s="14">
        <v>1.0</v>
      </c>
      <c r="D23" s="14">
        <v>20.0</v>
      </c>
      <c r="E23" s="29" t="s">
        <v>571</v>
      </c>
      <c r="F23" s="14">
        <v>1.0</v>
      </c>
    </row>
    <row r="24" s="23" customFormat="1" hidden="1" outlineLevel="1">
      <c r="A24" s="18"/>
      <c r="B24" s="19" t="s">
        <v>29</v>
      </c>
      <c r="C24" s="19"/>
      <c r="D24" s="19"/>
      <c r="E24" s="30"/>
      <c r="F24" s="18"/>
    </row>
    <row r="25" s="23" customFormat="1" hidden="1" outlineLevel="1">
      <c r="A25" s="18"/>
      <c r="B25" s="19" t="s">
        <v>556</v>
      </c>
      <c r="C25" s="19"/>
      <c r="D25" s="19"/>
      <c r="E25" s="30"/>
      <c r="F25" s="18"/>
    </row>
    <row r="26" s="23" customFormat="1" hidden="1" outlineLevel="1">
      <c r="A26" s="18"/>
      <c r="B26" s="19" t="s">
        <v>34</v>
      </c>
      <c r="C26" s="19"/>
      <c r="D26" s="19"/>
      <c r="E26" s="30"/>
      <c r="F26" s="18"/>
    </row>
    <row r="27" s="23" customFormat="1" hidden="1" outlineLevel="1">
      <c r="A27" s="18"/>
      <c r="B27" s="19" t="s">
        <v>35</v>
      </c>
      <c r="C27" s="19"/>
      <c r="D27" s="19"/>
      <c r="E27" s="30"/>
      <c r="F27" s="18"/>
    </row>
    <row r="28" s="23" customFormat="1" hidden="1" outlineLevel="1">
      <c r="A28" s="18"/>
      <c r="B28" s="19" t="s">
        <v>557</v>
      </c>
      <c r="C28" s="19"/>
      <c r="D28" s="19"/>
      <c r="E28" s="30"/>
      <c r="F28" s="18"/>
    </row>
    <row r="29" s="23" customFormat="1" hidden="1" outlineLevel="1">
      <c r="A29" s="18"/>
      <c r="B29" s="19" t="s">
        <v>558</v>
      </c>
      <c r="C29" s="19"/>
      <c r="D29" s="19"/>
      <c r="E29" s="30"/>
      <c r="F29" s="18"/>
    </row>
    <row r="30" s="23" customFormat="1" hidden="1" outlineLevel="1">
      <c r="A30" s="18"/>
      <c r="B30" s="19" t="s">
        <v>559</v>
      </c>
      <c r="C30" s="19"/>
      <c r="D30" s="19"/>
      <c r="E30" s="30"/>
      <c r="F30" s="18"/>
    </row>
    <row r="31" collapsed="1">
      <c r="A31" s="14" t="s">
        <v>476</v>
      </c>
      <c r="B31" s="14" t="s">
        <v>555</v>
      </c>
      <c r="C31" s="14">
        <v>1.0</v>
      </c>
      <c r="D31" s="14">
        <v>15.0</v>
      </c>
      <c r="E31" s="29" t="s">
        <v>482</v>
      </c>
      <c r="F31" s="14">
        <v>1.0</v>
      </c>
    </row>
    <row r="32" s="23" customFormat="1" hidden="1" outlineLevel="1">
      <c r="A32" s="18"/>
      <c r="B32" s="19" t="s">
        <v>483</v>
      </c>
      <c r="C32" s="18"/>
      <c r="D32" s="18"/>
      <c r="E32" s="30"/>
      <c r="F32" s="18"/>
    </row>
    <row r="33" s="23" customFormat="1" hidden="1" outlineLevel="1">
      <c r="A33" s="18"/>
      <c r="B33" s="19" t="s">
        <v>552</v>
      </c>
      <c r="C33" s="18"/>
      <c r="D33" s="18"/>
      <c r="E33" s="30"/>
      <c r="F33" s="18"/>
    </row>
    <row r="34">
      <c r="A34" s="14" t="s">
        <v>478</v>
      </c>
      <c r="B34" s="14" t="s">
        <v>378</v>
      </c>
      <c r="C34" s="14">
        <v>1.0</v>
      </c>
      <c r="D34" s="14">
        <v>20.0</v>
      </c>
      <c r="E34" s="29" t="s">
        <v>476</v>
      </c>
      <c r="F34" s="14">
        <v>1.0</v>
      </c>
    </row>
    <row r="35">
      <c r="A35" s="14" t="s">
        <v>479</v>
      </c>
      <c r="B35" s="14" t="s">
        <v>477</v>
      </c>
      <c r="C35" s="14">
        <v>1.0</v>
      </c>
      <c r="D35" s="14">
        <v>15.0</v>
      </c>
      <c r="E35" s="29" t="s">
        <v>478</v>
      </c>
      <c r="F35" s="14">
        <v>1.0</v>
      </c>
    </row>
    <row r="36" collapsed="1">
      <c r="A36" s="14" t="s">
        <v>480</v>
      </c>
      <c r="B36" s="14" t="s">
        <v>572</v>
      </c>
      <c r="C36" s="14">
        <v>1.0</v>
      </c>
      <c r="D36" s="14">
        <v>20.0</v>
      </c>
      <c r="E36" s="29" t="s">
        <v>481</v>
      </c>
      <c r="F36" s="14">
        <v>1.0</v>
      </c>
    </row>
    <row r="37" s="23" customFormat="1" hidden="1" outlineLevel="1">
      <c r="A37" s="18"/>
      <c r="B37" s="19" t="s">
        <v>573</v>
      </c>
      <c r="C37" s="18"/>
      <c r="D37" s="18"/>
      <c r="E37" s="30"/>
      <c r="F37" s="18"/>
    </row>
    <row r="38" s="23" customFormat="1" hidden="1" outlineLevel="1">
      <c r="A38" s="18"/>
      <c r="B38" s="19" t="s">
        <v>574</v>
      </c>
      <c r="C38" s="18"/>
      <c r="D38" s="18"/>
      <c r="E38" s="30"/>
      <c r="F38" s="18"/>
    </row>
    <row r="39" s="23" customFormat="1" hidden="1" outlineLevel="1">
      <c r="A39" s="18"/>
      <c r="B39" s="19" t="s">
        <v>575</v>
      </c>
      <c r="C39" s="18"/>
      <c r="D39" s="18"/>
      <c r="E39" s="30"/>
      <c r="F39" s="18"/>
    </row>
    <row r="40" s="23" customFormat="1" hidden="1" outlineLevel="1">
      <c r="A40" s="18"/>
      <c r="B40" s="19" t="s">
        <v>576</v>
      </c>
      <c r="C40" s="18"/>
      <c r="D40" s="18"/>
      <c r="E40" s="30"/>
      <c r="F40" s="18"/>
    </row>
    <row r="41">
      <c r="A41" s="14" t="s">
        <v>481</v>
      </c>
      <c r="B41" s="14" t="s">
        <v>50</v>
      </c>
      <c r="C41" s="14">
        <v>1.0</v>
      </c>
      <c r="D41" s="14">
        <v>15.0</v>
      </c>
      <c r="E41" s="29" t="s">
        <v>490</v>
      </c>
      <c r="F41" s="14">
        <v>1.0</v>
      </c>
    </row>
    <row r="42">
      <c r="A42" s="14" t="s">
        <v>482</v>
      </c>
      <c r="B42" s="14" t="s">
        <v>545</v>
      </c>
      <c r="C42" s="14">
        <v>1.0</v>
      </c>
      <c r="D42" s="14">
        <v>20.0</v>
      </c>
      <c r="E42" s="29" t="s">
        <v>479</v>
      </c>
      <c r="F42" s="14">
        <v>1.0</v>
      </c>
    </row>
    <row r="43">
      <c r="A43" s="14" t="s">
        <v>484</v>
      </c>
      <c r="B43" s="14" t="s">
        <v>554</v>
      </c>
      <c r="C43" s="14">
        <v>1.0</v>
      </c>
      <c r="D43" s="14">
        <v>15.0</v>
      </c>
      <c r="E43" s="29" t="s">
        <v>172</v>
      </c>
      <c r="F43" s="14">
        <v>1.0</v>
      </c>
    </row>
    <row r="44">
      <c r="A44" s="14" t="s">
        <v>486</v>
      </c>
      <c r="B44" s="14" t="s">
        <v>485</v>
      </c>
      <c r="C44" s="14">
        <v>1.0</v>
      </c>
      <c r="D44" s="14">
        <v>15.0</v>
      </c>
      <c r="E44" s="29" t="s">
        <v>484</v>
      </c>
      <c r="F44" s="14">
        <v>1.0</v>
      </c>
    </row>
    <row r="45" s="23" customFormat="1" outlineLevel="1">
      <c r="A45" s="18"/>
      <c r="B45" s="19" t="s">
        <v>570</v>
      </c>
      <c r="C45" s="18"/>
      <c r="D45" s="18"/>
      <c r="E45" s="30"/>
      <c r="F45" s="18"/>
    </row>
    <row r="46" s="23" customFormat="1" outlineLevel="1">
      <c r="A46" s="18"/>
      <c r="B46" s="19" t="s">
        <v>568</v>
      </c>
      <c r="C46" s="18"/>
      <c r="D46" s="18"/>
      <c r="E46" s="30"/>
      <c r="F46" s="18"/>
    </row>
    <row r="47" s="23" customFormat="1" outlineLevel="1">
      <c r="A47" s="18"/>
      <c r="B47" s="19" t="s">
        <v>569</v>
      </c>
      <c r="C47" s="18"/>
      <c r="D47" s="18"/>
      <c r="E47" s="30"/>
      <c r="F47" s="18"/>
    </row>
    <row r="48">
      <c r="A48" s="14" t="s">
        <v>488</v>
      </c>
      <c r="B48" s="14" t="s">
        <v>491</v>
      </c>
      <c r="C48" s="14">
        <v>1.0</v>
      </c>
      <c r="D48" s="14">
        <v>15.0</v>
      </c>
      <c r="E48" s="29" t="s">
        <v>492</v>
      </c>
      <c r="F48" s="14">
        <v>1.0</v>
      </c>
    </row>
    <row r="49">
      <c r="A49" s="14" t="s">
        <v>490</v>
      </c>
      <c r="B49" s="14" t="s">
        <v>560</v>
      </c>
      <c r="C49" s="14">
        <v>1.0</v>
      </c>
      <c r="D49" s="14">
        <v>20.0</v>
      </c>
      <c r="E49" s="29" t="s">
        <v>546</v>
      </c>
      <c r="F49" s="14">
        <v>1.0</v>
      </c>
    </row>
    <row r="50">
      <c r="A50" s="15" t="s">
        <v>492</v>
      </c>
      <c r="B50" s="15" t="s">
        <v>487</v>
      </c>
      <c r="C50" s="15">
        <v>2.0</v>
      </c>
      <c r="D50" s="15">
        <v>10.0</v>
      </c>
      <c r="E50" s="31" t="s">
        <v>172</v>
      </c>
      <c r="F50" s="15">
        <v>2.0</v>
      </c>
    </row>
    <row r="51">
      <c r="A51" s="15" t="s">
        <v>494</v>
      </c>
      <c r="B51" s="15" t="s">
        <v>489</v>
      </c>
      <c r="C51" s="15">
        <v>2.0</v>
      </c>
      <c r="D51" s="15">
        <v>20.0</v>
      </c>
      <c r="E51" s="31" t="s">
        <v>501</v>
      </c>
      <c r="F51" s="15">
        <v>2.0</v>
      </c>
    </row>
    <row r="52">
      <c r="A52" s="15" t="s">
        <v>501</v>
      </c>
      <c r="B52" s="15" t="s">
        <v>982</v>
      </c>
      <c r="C52" s="15">
        <v>2.0</v>
      </c>
      <c r="D52" s="15">
        <v>20.0</v>
      </c>
      <c r="E52" s="31" t="s">
        <v>172</v>
      </c>
      <c r="F52" s="15">
        <v>2.0</v>
      </c>
    </row>
    <row r="53" s="23" customFormat="1" outlineLevel="1">
      <c r="A53" s="34"/>
      <c r="B53" s="20" t="s">
        <v>979</v>
      </c>
      <c r="C53" s="34"/>
      <c r="D53" s="34"/>
      <c r="E53" s="61"/>
      <c r="F53" s="34"/>
    </row>
    <row r="54" s="23" customFormat="1" outlineLevel="1">
      <c r="A54" s="34"/>
      <c r="B54" s="20" t="s">
        <v>980</v>
      </c>
      <c r="C54" s="34"/>
      <c r="D54" s="34"/>
      <c r="E54" s="61"/>
      <c r="F54" s="34"/>
    </row>
    <row r="55" s="23" customFormat="1" outlineLevel="1">
      <c r="A55" s="34"/>
      <c r="B55" s="20" t="s">
        <v>981</v>
      </c>
      <c r="C55" s="34"/>
      <c r="D55" s="34"/>
      <c r="E55" s="61"/>
      <c r="F55" s="34"/>
    </row>
    <row r="56">
      <c r="A56" s="15" t="s">
        <v>504</v>
      </c>
      <c r="B56" s="15" t="s">
        <v>493</v>
      </c>
      <c r="C56" s="15">
        <v>2.0</v>
      </c>
      <c r="D56" s="15">
        <v>15.0</v>
      </c>
      <c r="E56" s="31" t="s">
        <v>494</v>
      </c>
      <c r="F56" s="15">
        <v>2.0</v>
      </c>
    </row>
    <row r="57">
      <c r="A57" s="15" t="s">
        <v>506</v>
      </c>
      <c r="B57" s="15" t="s">
        <v>551</v>
      </c>
      <c r="C57" s="15">
        <v>2.0</v>
      </c>
      <c r="D57" s="15">
        <v>15.0</v>
      </c>
      <c r="E57" s="31" t="s">
        <v>504</v>
      </c>
      <c r="F57" s="15">
        <v>2.0</v>
      </c>
    </row>
    <row r="58">
      <c r="A58" s="15" t="s">
        <v>546</v>
      </c>
      <c r="B58" s="15" t="s">
        <v>561</v>
      </c>
      <c r="C58" s="15">
        <v>2.0</v>
      </c>
      <c r="D58" s="15">
        <v>20.0</v>
      </c>
      <c r="E58" s="31" t="s">
        <v>547</v>
      </c>
      <c r="F58" s="15">
        <v>2.0</v>
      </c>
    </row>
    <row r="59">
      <c r="A59" s="15" t="s">
        <v>547</v>
      </c>
      <c r="B59" s="15" t="s">
        <v>505</v>
      </c>
      <c r="C59" s="15">
        <v>2.0</v>
      </c>
      <c r="D59" s="15">
        <v>20.0</v>
      </c>
      <c r="E59" s="31" t="s">
        <v>172</v>
      </c>
      <c r="F59" s="15">
        <v>2.0</v>
      </c>
    </row>
    <row r="60">
      <c r="A60" s="15" t="s">
        <v>517</v>
      </c>
      <c r="B60" s="15" t="s">
        <v>538</v>
      </c>
      <c r="C60" s="15">
        <v>2.0</v>
      </c>
      <c r="D60" s="15">
        <v>10.0</v>
      </c>
      <c r="E60" s="31" t="s">
        <v>172</v>
      </c>
      <c r="F60" s="15">
        <v>2.0</v>
      </c>
    </row>
    <row r="61" collapsed="1">
      <c r="A61" s="16" t="s">
        <v>523</v>
      </c>
      <c r="B61" s="16" t="s">
        <v>495</v>
      </c>
      <c r="C61" s="16">
        <v>3.0</v>
      </c>
      <c r="D61" s="16">
        <v>20.0</v>
      </c>
      <c r="E61" s="32" t="s">
        <v>517</v>
      </c>
      <c r="F61" s="16">
        <v>3.0</v>
      </c>
    </row>
    <row r="62" s="23" customFormat="1" hidden="1" outlineLevel="1">
      <c r="A62" s="28"/>
      <c r="B62" s="21" t="s">
        <v>496</v>
      </c>
      <c r="C62" s="28"/>
      <c r="D62" s="28"/>
      <c r="E62" s="33"/>
      <c r="F62" s="28"/>
    </row>
    <row r="63" s="23" customFormat="1" hidden="1" outlineLevel="1">
      <c r="A63" s="28"/>
      <c r="B63" s="21" t="s">
        <v>497</v>
      </c>
      <c r="C63" s="28"/>
      <c r="D63" s="28"/>
      <c r="E63" s="33"/>
      <c r="F63" s="28"/>
    </row>
    <row r="64" s="23" customFormat="1" hidden="1" outlineLevel="1">
      <c r="A64" s="28"/>
      <c r="B64" s="21" t="s">
        <v>498</v>
      </c>
      <c r="C64" s="28"/>
      <c r="D64" s="28"/>
      <c r="E64" s="33"/>
      <c r="F64" s="28"/>
    </row>
    <row r="65" s="23" customFormat="1" hidden="1" outlineLevel="1">
      <c r="A65" s="28"/>
      <c r="B65" s="21" t="s">
        <v>499</v>
      </c>
      <c r="C65" s="28"/>
      <c r="D65" s="28"/>
      <c r="E65" s="33"/>
      <c r="F65" s="28"/>
    </row>
    <row r="66" s="23" customFormat="1" hidden="1" outlineLevel="1">
      <c r="A66" s="28"/>
      <c r="B66" s="21" t="s">
        <v>500</v>
      </c>
      <c r="C66" s="28"/>
      <c r="D66" s="28"/>
      <c r="E66" s="33"/>
      <c r="F66" s="28"/>
    </row>
    <row r="67" collapsed="1">
      <c r="A67" s="16" t="s">
        <v>525</v>
      </c>
      <c r="B67" s="16" t="s">
        <v>502</v>
      </c>
      <c r="C67" s="16">
        <v>3.0</v>
      </c>
      <c r="D67" s="16">
        <v>20.0</v>
      </c>
      <c r="E67" s="32" t="s">
        <v>172</v>
      </c>
      <c r="F67" s="16">
        <v>3.0</v>
      </c>
    </row>
    <row r="68" hidden="1" outlineLevel="1">
      <c r="A68" s="12"/>
      <c r="B68" s="25" t="s">
        <v>503</v>
      </c>
      <c r="C68" s="27"/>
      <c r="D68" s="27"/>
      <c r="E68" s="27"/>
      <c r="F68" s="34"/>
    </row>
    <row r="69" hidden="1" outlineLevel="1">
      <c r="A69" s="12"/>
      <c r="B69" s="25" t="s">
        <v>333</v>
      </c>
      <c r="C69" s="27"/>
      <c r="D69" s="27"/>
      <c r="E69" s="27"/>
      <c r="F69" s="34"/>
    </row>
    <row r="70" hidden="1" outlineLevel="1">
      <c r="A70" s="12"/>
      <c r="B70" s="25" t="s">
        <v>264</v>
      </c>
      <c r="C70" s="27"/>
      <c r="D70" s="27"/>
      <c r="E70" s="27"/>
      <c r="F70" s="34"/>
    </row>
    <row r="71" collapsed="1">
      <c r="A71" s="16" t="s">
        <v>527</v>
      </c>
      <c r="B71" s="16" t="s">
        <v>507</v>
      </c>
      <c r="C71" s="16">
        <v>3.0</v>
      </c>
      <c r="D71" s="16">
        <v>20.0</v>
      </c>
      <c r="E71" s="32" t="s">
        <v>525</v>
      </c>
      <c r="F71" s="16">
        <v>3.0</v>
      </c>
    </row>
    <row r="72" s="23" customFormat="1" hidden="1" outlineLevel="1">
      <c r="A72" s="28"/>
      <c r="B72" s="21" t="s">
        <v>508</v>
      </c>
      <c r="C72" s="28"/>
      <c r="D72" s="28"/>
      <c r="E72" s="33"/>
      <c r="F72" s="28"/>
    </row>
    <row r="73" s="23" customFormat="1" hidden="1" outlineLevel="1">
      <c r="A73" s="28"/>
      <c r="B73" s="21" t="s">
        <v>509</v>
      </c>
      <c r="C73" s="28"/>
      <c r="D73" s="28"/>
      <c r="E73" s="33"/>
      <c r="F73" s="28"/>
    </row>
    <row r="74" s="23" customFormat="1" hidden="1" outlineLevel="1">
      <c r="A74" s="28"/>
      <c r="B74" s="21" t="s">
        <v>510</v>
      </c>
      <c r="C74" s="28"/>
      <c r="D74" s="28"/>
      <c r="E74" s="33"/>
      <c r="F74" s="28"/>
    </row>
    <row r="75" s="23" customFormat="1" hidden="1" outlineLevel="1">
      <c r="A75" s="28"/>
      <c r="B75" s="21" t="s">
        <v>511</v>
      </c>
      <c r="C75" s="28"/>
      <c r="D75" s="28"/>
      <c r="E75" s="33"/>
      <c r="F75" s="28"/>
    </row>
    <row r="76" s="23" customFormat="1" hidden="1" outlineLevel="1">
      <c r="A76" s="28"/>
      <c r="B76" s="21" t="s">
        <v>512</v>
      </c>
      <c r="C76" s="28"/>
      <c r="D76" s="28"/>
      <c r="E76" s="33"/>
      <c r="F76" s="28"/>
    </row>
    <row r="77" s="23" customFormat="1" hidden="1" outlineLevel="1">
      <c r="A77" s="28"/>
      <c r="B77" s="21" t="s">
        <v>513</v>
      </c>
      <c r="C77" s="28"/>
      <c r="D77" s="28"/>
      <c r="E77" s="33"/>
      <c r="F77" s="28"/>
    </row>
    <row r="78" s="23" customFormat="1" hidden="1" outlineLevel="1">
      <c r="A78" s="28"/>
      <c r="B78" s="21" t="s">
        <v>514</v>
      </c>
      <c r="C78" s="28"/>
      <c r="D78" s="28"/>
      <c r="E78" s="33"/>
      <c r="F78" s="28"/>
    </row>
    <row r="79" s="23" customFormat="1" hidden="1" outlineLevel="1">
      <c r="A79" s="28"/>
      <c r="B79" s="21" t="s">
        <v>515</v>
      </c>
      <c r="C79" s="28"/>
      <c r="D79" s="28"/>
      <c r="E79" s="33"/>
      <c r="F79" s="28"/>
    </row>
    <row r="80" s="23" customFormat="1" hidden="1" outlineLevel="1">
      <c r="A80" s="28"/>
      <c r="B80" s="21" t="s">
        <v>516</v>
      </c>
      <c r="C80" s="28"/>
      <c r="D80" s="28"/>
      <c r="E80" s="33"/>
      <c r="F80" s="28"/>
    </row>
    <row r="81" collapsed="1">
      <c r="A81" s="16" t="s">
        <v>531</v>
      </c>
      <c r="B81" s="16" t="s">
        <v>518</v>
      </c>
      <c r="C81" s="16">
        <v>3.0</v>
      </c>
      <c r="D81" s="16">
        <v>20.0</v>
      </c>
      <c r="E81" s="32" t="s">
        <v>525</v>
      </c>
      <c r="F81" s="16">
        <v>3.0</v>
      </c>
    </row>
    <row r="82" s="23" customFormat="1" hidden="1" outlineLevel="1">
      <c r="A82" s="28"/>
      <c r="B82" s="21" t="s">
        <v>519</v>
      </c>
      <c r="C82" s="28"/>
      <c r="D82" s="28"/>
      <c r="E82" s="33"/>
      <c r="F82" s="28"/>
    </row>
    <row r="83" s="23" customFormat="1" hidden="1" outlineLevel="1">
      <c r="A83" s="28"/>
      <c r="B83" s="21" t="s">
        <v>520</v>
      </c>
      <c r="C83" s="28"/>
      <c r="D83" s="28"/>
      <c r="E83" s="33"/>
      <c r="F83" s="28"/>
    </row>
    <row r="84" s="23" customFormat="1" hidden="1" outlineLevel="1">
      <c r="A84" s="28"/>
      <c r="B84" s="21" t="s">
        <v>521</v>
      </c>
      <c r="C84" s="28"/>
      <c r="D84" s="28"/>
      <c r="E84" s="33"/>
      <c r="F84" s="28"/>
    </row>
    <row r="85" s="23" customFormat="1" hidden="1" outlineLevel="1">
      <c r="A85" s="28"/>
      <c r="B85" s="21" t="s">
        <v>522</v>
      </c>
      <c r="C85" s="28"/>
      <c r="D85" s="28"/>
      <c r="E85" s="33"/>
      <c r="F85" s="28"/>
    </row>
    <row r="86">
      <c r="A86" s="16" t="s">
        <v>533</v>
      </c>
      <c r="B86" s="16" t="s">
        <v>524</v>
      </c>
      <c r="C86" s="16">
        <v>3.0</v>
      </c>
      <c r="D86" s="16">
        <v>15.0</v>
      </c>
      <c r="E86" s="32" t="s">
        <v>172</v>
      </c>
      <c r="F86" s="16">
        <v>3.0</v>
      </c>
    </row>
    <row r="87">
      <c r="A87" s="16" t="s">
        <v>534</v>
      </c>
      <c r="B87" s="16" t="s">
        <v>526</v>
      </c>
      <c r="C87" s="16">
        <v>3.0</v>
      </c>
      <c r="D87" s="16">
        <v>15.0</v>
      </c>
      <c r="E87" s="32" t="s">
        <v>172</v>
      </c>
      <c r="F87" s="16">
        <v>3.0</v>
      </c>
    </row>
    <row r="88" collapsed="1">
      <c r="A88" s="16" t="s">
        <v>536</v>
      </c>
      <c r="B88" s="16" t="s">
        <v>528</v>
      </c>
      <c r="C88" s="16">
        <v>3.0</v>
      </c>
      <c r="D88" s="16">
        <v>20.0</v>
      </c>
      <c r="E88" s="32" t="s">
        <v>172</v>
      </c>
      <c r="F88" s="16">
        <v>3.0</v>
      </c>
    </row>
    <row r="89" s="23" customFormat="1" hidden="1" outlineLevel="1">
      <c r="A89" s="28"/>
      <c r="B89" s="21" t="s">
        <v>562</v>
      </c>
      <c r="C89" s="28"/>
      <c r="D89" s="28"/>
      <c r="E89" s="33"/>
      <c r="F89" s="28"/>
    </row>
    <row r="90" s="23" customFormat="1" hidden="1" outlineLevel="1">
      <c r="A90" s="28"/>
      <c r="B90" s="21" t="s">
        <v>563</v>
      </c>
      <c r="C90" s="28"/>
      <c r="D90" s="28"/>
      <c r="E90" s="33"/>
      <c r="F90" s="28"/>
    </row>
    <row r="91" s="23" customFormat="1" hidden="1" outlineLevel="1">
      <c r="A91" s="28"/>
      <c r="B91" s="21" t="s">
        <v>564</v>
      </c>
      <c r="C91" s="28"/>
      <c r="D91" s="28"/>
      <c r="E91" s="33"/>
      <c r="F91" s="28"/>
    </row>
    <row r="92" s="23" customFormat="1" hidden="1" outlineLevel="1">
      <c r="A92" s="28"/>
      <c r="B92" s="21" t="s">
        <v>529</v>
      </c>
      <c r="C92" s="28"/>
      <c r="D92" s="28"/>
      <c r="E92" s="33"/>
      <c r="F92" s="28"/>
    </row>
    <row r="93" s="23" customFormat="1" hidden="1" outlineLevel="1">
      <c r="A93" s="28"/>
      <c r="B93" s="21" t="s">
        <v>565</v>
      </c>
      <c r="C93" s="28"/>
      <c r="D93" s="28"/>
      <c r="E93" s="33"/>
      <c r="F93" s="28"/>
    </row>
    <row r="94" s="23" customFormat="1" hidden="1" outlineLevel="1">
      <c r="A94" s="28"/>
      <c r="B94" s="21" t="s">
        <v>566</v>
      </c>
      <c r="C94" s="28"/>
      <c r="D94" s="28"/>
      <c r="E94" s="33"/>
      <c r="F94" s="28"/>
    </row>
    <row r="95" s="23" customFormat="1" hidden="1" outlineLevel="1">
      <c r="A95" s="28"/>
      <c r="B95" s="21" t="s">
        <v>567</v>
      </c>
      <c r="C95" s="28"/>
      <c r="D95" s="28"/>
      <c r="E95" s="33"/>
      <c r="F95" s="28"/>
    </row>
    <row r="96" s="23" customFormat="1" hidden="1" outlineLevel="1">
      <c r="A96" s="28"/>
      <c r="B96" s="21" t="s">
        <v>530</v>
      </c>
      <c r="C96" s="28"/>
      <c r="D96" s="28"/>
      <c r="E96" s="33"/>
      <c r="F96" s="28"/>
    </row>
    <row r="97">
      <c r="A97" s="16" t="s">
        <v>537</v>
      </c>
      <c r="B97" s="16" t="s">
        <v>532</v>
      </c>
      <c r="C97" s="16">
        <v>3.0</v>
      </c>
      <c r="D97" s="16">
        <v>20.0</v>
      </c>
      <c r="E97" s="32" t="s">
        <v>172</v>
      </c>
      <c r="F97" s="16">
        <v>3.0</v>
      </c>
    </row>
    <row r="98" collapsed="1">
      <c r="A98" s="16" t="s">
        <v>539</v>
      </c>
      <c r="B98" s="16" t="s">
        <v>550</v>
      </c>
      <c r="C98" s="16">
        <v>3.0</v>
      </c>
      <c r="D98" s="16">
        <v>20.0</v>
      </c>
      <c r="E98" s="32" t="s">
        <v>172</v>
      </c>
      <c r="F98" s="16">
        <v>3.0</v>
      </c>
    </row>
    <row r="99" s="23" customFormat="1" hidden="1" outlineLevel="1">
      <c r="A99" s="28"/>
      <c r="B99" s="28" t="s">
        <v>549</v>
      </c>
      <c r="C99" s="28"/>
      <c r="D99" s="28"/>
      <c r="E99" s="33"/>
      <c r="F99" s="28"/>
    </row>
    <row r="100" s="23" customFormat="1" hidden="1" outlineLevel="1">
      <c r="A100" s="28"/>
      <c r="B100" s="28" t="s">
        <v>548</v>
      </c>
      <c r="C100" s="28"/>
      <c r="D100" s="28"/>
      <c r="E100" s="33"/>
      <c r="F100" s="28"/>
    </row>
    <row r="101">
      <c r="A101" s="16" t="s">
        <v>541</v>
      </c>
      <c r="B101" s="16" t="s">
        <v>535</v>
      </c>
      <c r="C101" s="16">
        <v>3.0</v>
      </c>
      <c r="D101" s="16">
        <v>30.0</v>
      </c>
      <c r="E101" s="32" t="s">
        <v>517</v>
      </c>
      <c r="F101" s="16">
        <v>3.0</v>
      </c>
    </row>
    <row r="102">
      <c r="A102" s="16" t="s">
        <v>542</v>
      </c>
      <c r="B102" s="16" t="s">
        <v>540</v>
      </c>
      <c r="C102" s="16">
        <v>3.0</v>
      </c>
      <c r="D102" s="16">
        <v>15.0</v>
      </c>
      <c r="E102" s="32" t="s">
        <v>172</v>
      </c>
      <c r="F102" s="16">
        <v>3.0</v>
      </c>
    </row>
    <row r="103">
      <c r="A103" s="16" t="s">
        <v>553</v>
      </c>
      <c r="B103" s="16" t="s">
        <v>324</v>
      </c>
      <c r="C103" s="16">
        <v>3.0</v>
      </c>
      <c r="D103" s="16">
        <v>15.0</v>
      </c>
      <c r="E103" s="32" t="s">
        <v>172</v>
      </c>
      <c r="F103" s="16">
        <v>3.0</v>
      </c>
    </row>
    <row r="104" outlineLevel="1">
      <c r="A104" s="12"/>
      <c r="B104" s="26" t="s">
        <v>543</v>
      </c>
      <c r="C104" s="24"/>
      <c r="D104" s="24"/>
      <c r="E104" s="27"/>
      <c r="F104" s="12"/>
    </row>
    <row r="105" outlineLevel="1">
      <c r="A105" s="12"/>
      <c r="B105" s="26" t="s">
        <v>327</v>
      </c>
      <c r="C105" s="24"/>
      <c r="D105" s="24"/>
      <c r="E105" s="27"/>
      <c r="F105" s="12"/>
    </row>
    <row r="106">
      <c r="A106" s="3"/>
      <c r="B106" s="3"/>
      <c r="C106" s="3"/>
      <c r="D106" s="3"/>
      <c r="E106" s="27"/>
      <c r="F106" s="12"/>
    </row>
    <row r="107">
      <c r="A107" s="3"/>
      <c r="B107" s="4" t="s">
        <v>61</v>
      </c>
      <c r="C107" s="4">
        <f>SUM(C108:C125)</f>
        <v>9.0</v>
      </c>
      <c r="D107" s="4">
        <f>SUM(D108:D125)</f>
        <v>90.0</v>
      </c>
      <c r="E107" s="27"/>
      <c r="F107" s="12"/>
    </row>
    <row r="108" collapsed="1">
      <c r="A108" s="3" t="s">
        <v>62</v>
      </c>
      <c r="B108" s="8" t="s">
        <v>19</v>
      </c>
      <c r="C108" s="3">
        <v>2.0</v>
      </c>
      <c r="D108" s="3">
        <v>20.0</v>
      </c>
      <c r="E108" s="27"/>
      <c r="F108" s="12"/>
    </row>
    <row r="109" hidden="1" outlineLevel="1">
      <c r="A109" s="3"/>
      <c r="B109" s="7" t="s">
        <v>63</v>
      </c>
      <c r="C109" s="3"/>
      <c r="D109" s="3"/>
      <c r="E109" s="27"/>
      <c r="F109" s="12"/>
    </row>
    <row r="110" hidden="1" outlineLevel="1">
      <c r="A110" s="3"/>
      <c r="B110" s="7" t="s">
        <v>64</v>
      </c>
      <c r="C110" s="3"/>
      <c r="D110" s="3"/>
      <c r="E110" s="27"/>
      <c r="F110" s="12"/>
    </row>
    <row r="111" hidden="1" outlineLevel="1">
      <c r="A111" s="3"/>
      <c r="B111" s="7" t="s">
        <v>65</v>
      </c>
      <c r="C111" s="3"/>
      <c r="D111" s="3"/>
      <c r="E111" s="27"/>
      <c r="F111" s="12"/>
    </row>
    <row r="112" hidden="1" outlineLevel="1">
      <c r="A112" s="3"/>
      <c r="B112" s="7" t="s">
        <v>66</v>
      </c>
      <c r="C112" s="3"/>
      <c r="D112" s="3"/>
      <c r="E112" s="27"/>
      <c r="F112" s="12"/>
    </row>
    <row r="113" hidden="1" outlineLevel="1">
      <c r="A113" s="3"/>
      <c r="B113" s="7" t="s">
        <v>67</v>
      </c>
      <c r="C113" s="3"/>
      <c r="D113" s="3"/>
      <c r="E113" s="27"/>
      <c r="F113" s="12"/>
    </row>
    <row r="114" collapsed="1">
      <c r="A114" s="3" t="s">
        <v>68</v>
      </c>
      <c r="B114" s="3" t="s">
        <v>69</v>
      </c>
      <c r="C114" s="3">
        <v>2.0</v>
      </c>
      <c r="D114" s="3">
        <v>20.0</v>
      </c>
      <c r="E114" s="35"/>
      <c r="F114" s="12"/>
    </row>
    <row r="115" hidden="1" outlineLevel="1">
      <c r="A115" s="3"/>
      <c r="B115" s="9" t="s">
        <v>70</v>
      </c>
      <c r="C115" s="3"/>
      <c r="D115" s="3"/>
      <c r="E115" s="35"/>
      <c r="F115" s="12"/>
    </row>
    <row r="116" hidden="1" outlineLevel="1">
      <c r="A116" s="3"/>
      <c r="B116" s="9" t="s">
        <v>71</v>
      </c>
      <c r="C116" s="3"/>
      <c r="D116" s="3"/>
      <c r="E116" s="35"/>
      <c r="F116" s="12"/>
    </row>
    <row r="117" hidden="1" outlineLevel="1">
      <c r="A117" s="3"/>
      <c r="B117" s="9" t="s">
        <v>72</v>
      </c>
      <c r="C117" s="3"/>
      <c r="D117" s="3"/>
      <c r="E117" s="35"/>
      <c r="F117" s="12"/>
    </row>
    <row r="118" collapsed="1">
      <c r="A118" s="3" t="s">
        <v>73</v>
      </c>
      <c r="B118" s="3" t="s">
        <v>74</v>
      </c>
      <c r="C118" s="3">
        <v>2.0</v>
      </c>
      <c r="D118" s="3">
        <v>20.0</v>
      </c>
      <c r="E118" s="35"/>
      <c r="F118" s="12"/>
    </row>
    <row r="119" hidden="1" outlineLevel="1">
      <c r="A119" s="3"/>
      <c r="B119" s="9" t="s">
        <v>75</v>
      </c>
      <c r="C119" s="3"/>
      <c r="D119" s="3"/>
      <c r="E119" s="35"/>
      <c r="F119" s="12"/>
    </row>
    <row r="120" hidden="1" outlineLevel="1">
      <c r="A120" s="3"/>
      <c r="B120" s="9" t="s">
        <v>76</v>
      </c>
      <c r="C120" s="3"/>
      <c r="D120" s="3"/>
      <c r="E120" s="27"/>
      <c r="F120" s="12"/>
    </row>
    <row r="121" hidden="1" outlineLevel="1">
      <c r="A121" s="3"/>
      <c r="B121" s="9" t="s">
        <v>77</v>
      </c>
      <c r="C121" s="3"/>
      <c r="D121" s="3"/>
      <c r="E121" s="27"/>
      <c r="F121" s="12"/>
    </row>
    <row r="122" collapsed="1">
      <c r="A122" s="3" t="s">
        <v>78</v>
      </c>
      <c r="B122" s="5" t="s">
        <v>79</v>
      </c>
      <c r="C122" s="3">
        <v>1.0</v>
      </c>
      <c r="D122" s="3">
        <v>15.0</v>
      </c>
      <c r="E122" s="27"/>
      <c r="F122" s="12"/>
    </row>
    <row r="123" hidden="1" outlineLevel="1">
      <c r="A123" s="3"/>
      <c r="B123" s="7" t="s">
        <v>80</v>
      </c>
      <c r="C123" s="3"/>
      <c r="D123" s="3"/>
      <c r="E123" s="27"/>
      <c r="F123" s="12"/>
    </row>
    <row r="124" hidden="1" outlineLevel="1">
      <c r="A124" s="3"/>
      <c r="B124" s="7" t="s">
        <v>81</v>
      </c>
      <c r="C124" s="3"/>
      <c r="D124" s="3"/>
      <c r="E124" s="27"/>
      <c r="F124" s="12"/>
    </row>
    <row r="125" collapsed="1">
      <c r="A125" s="3" t="s">
        <v>82</v>
      </c>
      <c r="B125" s="10" t="s">
        <v>83</v>
      </c>
      <c r="C125" s="3">
        <v>2.0</v>
      </c>
      <c r="D125" s="3">
        <v>15.0</v>
      </c>
      <c r="E125" s="27"/>
      <c r="F125" s="12"/>
    </row>
    <row r="126" hidden="1" outlineLevel="1">
      <c r="A126" s="3"/>
      <c r="B126" s="7" t="s">
        <v>84</v>
      </c>
      <c r="C126" s="3"/>
      <c r="D126" s="3"/>
      <c r="E126" s="27"/>
      <c r="F126" s="12"/>
    </row>
    <row r="127" hidden="1" outlineLevel="1">
      <c r="A127" s="3"/>
      <c r="B127" s="7" t="s">
        <v>85</v>
      </c>
      <c r="C127" s="3"/>
      <c r="D127" s="3"/>
      <c r="E127" s="27"/>
      <c r="F127" s="12"/>
    </row>
    <row r="128" hidden="1" outlineLevel="1">
      <c r="A128" s="3"/>
      <c r="B128" s="7" t="s">
        <v>86</v>
      </c>
      <c r="C128" s="3"/>
      <c r="D128" s="3"/>
      <c r="E128" s="27"/>
      <c r="F128" s="12"/>
    </row>
    <row r="129" hidden="1" outlineLevel="1">
      <c r="A129" s="3"/>
      <c r="B129" s="7" t="s">
        <v>87</v>
      </c>
      <c r="C129" s="3"/>
      <c r="D129" s="3"/>
      <c r="E129" s="35"/>
      <c r="F129" s="12"/>
    </row>
    <row r="130" hidden="1" outlineLevel="1">
      <c r="A130" s="3"/>
      <c r="B130" s="7" t="s">
        <v>88</v>
      </c>
      <c r="C130" s="3"/>
      <c r="D130" s="3"/>
      <c r="E130" s="27"/>
      <c r="F130" s="12"/>
    </row>
    <row r="131">
      <c r="A131" s="3"/>
      <c r="B131" s="3"/>
      <c r="C131" s="3"/>
      <c r="D131" s="3"/>
      <c r="E131" s="27"/>
      <c r="F131" s="12"/>
    </row>
    <row r="132">
      <c r="A132" s="3"/>
      <c r="B132" s="4" t="s">
        <v>89</v>
      </c>
      <c r="C132" s="4">
        <f>SUM(C133:C167)</f>
        <v>13.0</v>
      </c>
      <c r="D132" s="4">
        <f>SUM(D133:D167)</f>
        <v>120.0</v>
      </c>
      <c r="E132" s="27"/>
      <c r="F132" s="12"/>
    </row>
    <row r="133">
      <c r="A133" s="3" t="s">
        <v>90</v>
      </c>
      <c r="B133" s="5" t="s">
        <v>91</v>
      </c>
      <c r="C133" s="3">
        <v>1.0</v>
      </c>
      <c r="D133" s="3">
        <v>10.0</v>
      </c>
      <c r="E133" s="27"/>
      <c r="F133" s="12"/>
    </row>
    <row r="134" collapsed="1">
      <c r="A134" s="3" t="s">
        <v>92</v>
      </c>
      <c r="B134" s="5" t="s">
        <v>93</v>
      </c>
      <c r="C134" s="3">
        <v>1.0</v>
      </c>
      <c r="D134" s="3">
        <v>10.0</v>
      </c>
      <c r="E134" s="35"/>
      <c r="F134" s="12"/>
    </row>
    <row r="135" hidden="1" outlineLevel="1">
      <c r="A135" s="3"/>
      <c r="B135" s="7" t="s">
        <v>94</v>
      </c>
      <c r="C135" s="3"/>
      <c r="D135" s="3"/>
      <c r="E135" s="27"/>
      <c r="F135" s="12"/>
    </row>
    <row r="136" hidden="1" outlineLevel="1">
      <c r="A136" s="3"/>
      <c r="B136" s="7" t="s">
        <v>95</v>
      </c>
      <c r="C136" s="3"/>
      <c r="D136" s="3"/>
      <c r="E136" s="27"/>
      <c r="F136" s="12"/>
    </row>
    <row r="137" hidden="1" outlineLevel="1">
      <c r="A137" s="3"/>
      <c r="B137" s="7" t="s">
        <v>96</v>
      </c>
      <c r="C137" s="3"/>
      <c r="D137" s="3"/>
      <c r="E137" s="27"/>
      <c r="F137" s="12"/>
    </row>
    <row r="138" hidden="1" outlineLevel="1">
      <c r="A138" s="3"/>
      <c r="B138" s="7" t="s">
        <v>97</v>
      </c>
      <c r="C138" s="3"/>
      <c r="D138" s="3"/>
      <c r="E138" s="27"/>
      <c r="F138" s="12"/>
    </row>
    <row r="139" hidden="1" outlineLevel="1">
      <c r="A139" s="3"/>
      <c r="B139" s="7" t="s">
        <v>98</v>
      </c>
      <c r="C139" s="3"/>
      <c r="D139" s="3"/>
      <c r="E139" s="27"/>
      <c r="F139" s="12"/>
    </row>
    <row r="140" collapsed="1">
      <c r="A140" s="3" t="s">
        <v>99</v>
      </c>
      <c r="B140" s="3" t="s">
        <v>100</v>
      </c>
      <c r="C140" s="3">
        <v>2.0</v>
      </c>
      <c r="D140" s="3">
        <v>10.0</v>
      </c>
      <c r="E140" s="27"/>
      <c r="F140" s="12"/>
    </row>
    <row r="141" hidden="1" outlineLevel="1">
      <c r="A141" s="3"/>
      <c r="B141" s="9" t="s">
        <v>101</v>
      </c>
      <c r="C141" s="3"/>
      <c r="D141" s="3"/>
      <c r="E141" s="27"/>
      <c r="F141" s="12"/>
    </row>
    <row r="142" hidden="1" outlineLevel="1">
      <c r="A142" s="3"/>
      <c r="B142" s="9" t="s">
        <v>102</v>
      </c>
      <c r="C142" s="3"/>
      <c r="D142" s="3"/>
      <c r="E142" s="27"/>
      <c r="F142" s="12"/>
    </row>
    <row r="143" collapsed="1">
      <c r="A143" s="3" t="s">
        <v>103</v>
      </c>
      <c r="B143" s="5" t="s">
        <v>104</v>
      </c>
      <c r="C143" s="3">
        <v>1.0</v>
      </c>
      <c r="D143" s="3">
        <v>10.0</v>
      </c>
      <c r="E143" s="27"/>
      <c r="F143" s="12"/>
    </row>
    <row r="144" hidden="1" outlineLevel="1">
      <c r="A144" s="3"/>
      <c r="B144" s="7" t="s">
        <v>105</v>
      </c>
      <c r="C144" s="3"/>
      <c r="D144" s="3"/>
      <c r="E144" s="27"/>
      <c r="F144" s="12"/>
    </row>
    <row r="145" hidden="1" outlineLevel="1">
      <c r="A145" s="3"/>
      <c r="B145" s="7" t="s">
        <v>106</v>
      </c>
      <c r="C145" s="3"/>
      <c r="D145" s="3"/>
      <c r="E145" s="27"/>
      <c r="F145" s="12"/>
    </row>
    <row r="146" hidden="1" outlineLevel="1">
      <c r="A146" s="3"/>
      <c r="B146" s="7" t="s">
        <v>107</v>
      </c>
      <c r="C146" s="3"/>
      <c r="D146" s="3"/>
      <c r="E146" s="27"/>
      <c r="F146" s="12"/>
    </row>
    <row r="147" hidden="1" outlineLevel="1">
      <c r="A147" s="3"/>
      <c r="B147" s="7" t="s">
        <v>108</v>
      </c>
      <c r="C147" s="3"/>
      <c r="D147" s="3"/>
      <c r="E147" s="35"/>
      <c r="F147" s="12"/>
    </row>
    <row r="148" hidden="1" outlineLevel="1">
      <c r="A148" s="3"/>
      <c r="B148" s="7" t="s">
        <v>109</v>
      </c>
      <c r="C148" s="3"/>
      <c r="D148" s="3"/>
      <c r="E148" s="27"/>
      <c r="F148" s="12"/>
    </row>
    <row r="149" collapsed="1">
      <c r="A149" s="3" t="s">
        <v>110</v>
      </c>
      <c r="B149" s="3" t="s">
        <v>111</v>
      </c>
      <c r="C149" s="3">
        <v>2.0</v>
      </c>
      <c r="D149" s="3">
        <v>15.0</v>
      </c>
      <c r="E149" s="27"/>
      <c r="F149" s="12"/>
    </row>
    <row r="150" hidden="1" outlineLevel="1">
      <c r="A150" s="3"/>
      <c r="B150" s="9" t="s">
        <v>112</v>
      </c>
      <c r="C150" s="3"/>
      <c r="D150" s="3"/>
      <c r="E150" s="27"/>
      <c r="F150" s="12"/>
    </row>
    <row r="151" hidden="1" outlineLevel="1">
      <c r="A151" s="3"/>
      <c r="B151" s="9" t="s">
        <v>113</v>
      </c>
      <c r="C151" s="3"/>
      <c r="D151" s="3"/>
      <c r="E151" s="27"/>
      <c r="F151" s="12"/>
    </row>
    <row r="152" hidden="1" outlineLevel="1">
      <c r="A152" s="3"/>
      <c r="B152" s="9" t="s">
        <v>114</v>
      </c>
      <c r="C152" s="3"/>
      <c r="D152" s="3"/>
      <c r="E152" s="35"/>
      <c r="F152" s="12"/>
    </row>
    <row r="153" collapsed="1">
      <c r="A153" s="3" t="s">
        <v>115</v>
      </c>
      <c r="B153" s="5" t="s">
        <v>116</v>
      </c>
      <c r="C153" s="3">
        <v>2.0</v>
      </c>
      <c r="D153" s="3">
        <v>20.0</v>
      </c>
      <c r="E153" s="27"/>
      <c r="F153" s="12"/>
    </row>
    <row r="154" hidden="1" outlineLevel="1">
      <c r="A154" s="3"/>
      <c r="B154" s="7" t="s">
        <v>117</v>
      </c>
      <c r="C154" s="3"/>
      <c r="D154" s="3"/>
      <c r="E154" s="27"/>
      <c r="F154" s="12"/>
    </row>
    <row r="155" hidden="1" outlineLevel="1">
      <c r="A155" s="3"/>
      <c r="B155" s="7" t="s">
        <v>118</v>
      </c>
      <c r="C155" s="3"/>
      <c r="D155" s="3"/>
      <c r="E155" s="35"/>
      <c r="F155" s="12"/>
    </row>
    <row r="156" hidden="1" outlineLevel="1">
      <c r="A156" s="3"/>
      <c r="B156" s="7" t="s">
        <v>119</v>
      </c>
      <c r="C156" s="3"/>
      <c r="D156" s="3"/>
      <c r="E156" s="27"/>
      <c r="F156" s="12"/>
    </row>
    <row r="157" hidden="1" outlineLevel="1">
      <c r="A157" s="3"/>
      <c r="B157" s="7" t="s">
        <v>120</v>
      </c>
      <c r="C157" s="3"/>
      <c r="D157" s="3"/>
      <c r="E157" s="27"/>
      <c r="F157" s="12"/>
    </row>
    <row r="158" hidden="1" outlineLevel="1">
      <c r="A158" s="3"/>
      <c r="B158" s="7" t="s">
        <v>121</v>
      </c>
      <c r="C158" s="3"/>
      <c r="D158" s="3"/>
      <c r="E158" s="27"/>
      <c r="F158" s="12"/>
    </row>
    <row r="159" hidden="1" outlineLevel="1">
      <c r="A159" s="3"/>
      <c r="B159" s="7" t="s">
        <v>122</v>
      </c>
      <c r="C159" s="3"/>
      <c r="D159" s="3"/>
      <c r="E159" s="27"/>
      <c r="F159" s="12"/>
    </row>
    <row r="160" collapsed="1">
      <c r="A160" s="3" t="s">
        <v>123</v>
      </c>
      <c r="B160" s="3" t="s">
        <v>124</v>
      </c>
      <c r="C160" s="3">
        <v>2.0</v>
      </c>
      <c r="D160" s="3">
        <v>25.0</v>
      </c>
      <c r="E160" s="27"/>
      <c r="F160" s="12"/>
    </row>
    <row r="161" hidden="1" outlineLevel="1">
      <c r="A161" s="3"/>
      <c r="B161" s="9" t="s">
        <v>125</v>
      </c>
      <c r="C161" s="3"/>
      <c r="D161" s="3"/>
      <c r="E161" s="27"/>
      <c r="F161" s="12"/>
    </row>
    <row r="162" hidden="1" outlineLevel="1">
      <c r="A162" s="3"/>
      <c r="B162" s="9" t="s">
        <v>126</v>
      </c>
      <c r="C162" s="3"/>
      <c r="D162" s="3"/>
      <c r="E162" s="27"/>
      <c r="F162" s="12"/>
    </row>
    <row r="163" hidden="1" outlineLevel="1">
      <c r="A163" s="3"/>
      <c r="B163" s="9" t="s">
        <v>127</v>
      </c>
      <c r="C163" s="3"/>
      <c r="D163" s="3"/>
      <c r="E163" s="27"/>
      <c r="F163" s="12"/>
    </row>
    <row r="164" hidden="1" outlineLevel="1">
      <c r="A164" s="3"/>
      <c r="B164" s="9" t="s">
        <v>128</v>
      </c>
      <c r="C164" s="3"/>
      <c r="D164" s="3"/>
      <c r="E164" s="27"/>
      <c r="F164" s="12"/>
    </row>
    <row r="165" hidden="1" outlineLevel="1">
      <c r="A165" s="3"/>
      <c r="B165" s="9" t="s">
        <v>129</v>
      </c>
      <c r="C165" s="3"/>
      <c r="D165" s="3"/>
      <c r="E165" s="27"/>
      <c r="F165" s="12"/>
    </row>
    <row r="166" hidden="1" outlineLevel="1">
      <c r="A166" s="3"/>
      <c r="B166" s="9" t="s">
        <v>130</v>
      </c>
      <c r="C166" s="3"/>
      <c r="D166" s="3"/>
      <c r="E166" s="27"/>
      <c r="F166" s="12"/>
    </row>
    <row r="167" collapsed="1">
      <c r="A167" s="3" t="s">
        <v>131</v>
      </c>
      <c r="B167" s="3" t="s">
        <v>132</v>
      </c>
      <c r="C167" s="3">
        <v>2.0</v>
      </c>
      <c r="D167" s="3">
        <v>20.0</v>
      </c>
      <c r="E167" s="27"/>
      <c r="F167" s="12"/>
    </row>
    <row r="168" hidden="1" outlineLevel="1">
      <c r="A168" s="3"/>
      <c r="B168" s="9" t="s">
        <v>133</v>
      </c>
      <c r="C168" s="3"/>
      <c r="D168" s="3"/>
      <c r="E168" s="27"/>
      <c r="F168" s="12"/>
    </row>
    <row r="169">
      <c r="A169" s="3"/>
      <c r="B169" s="3"/>
      <c r="C169" s="3"/>
      <c r="D169" s="3"/>
      <c r="E169" s="27"/>
      <c r="F169" s="12"/>
    </row>
    <row r="170">
      <c r="A170" s="3"/>
      <c r="B170" s="4" t="s">
        <v>134</v>
      </c>
      <c r="C170" s="4">
        <f>SUM(C171:C204)</f>
        <v>9.0</v>
      </c>
      <c r="D170" s="4">
        <f>SUM(D171:D194)</f>
        <v>60.0</v>
      </c>
      <c r="E170" s="27"/>
      <c r="F170" s="12"/>
    </row>
    <row r="171" collapsed="1">
      <c r="A171" s="3" t="s">
        <v>135</v>
      </c>
      <c r="B171" s="3" t="s">
        <v>136</v>
      </c>
      <c r="C171" s="3">
        <v>1.0</v>
      </c>
      <c r="D171" s="3">
        <v>5.0</v>
      </c>
      <c r="E171" s="27"/>
      <c r="F171" s="12"/>
    </row>
    <row r="172" hidden="1" outlineLevel="1">
      <c r="A172" s="3"/>
      <c r="B172" s="9" t="s">
        <v>137</v>
      </c>
      <c r="C172" s="3"/>
      <c r="D172" s="3"/>
      <c r="E172" s="27"/>
      <c r="F172" s="12"/>
    </row>
    <row r="173" hidden="1" outlineLevel="1">
      <c r="A173" s="3"/>
      <c r="B173" s="9" t="s">
        <v>138</v>
      </c>
      <c r="C173" s="3"/>
      <c r="D173" s="3"/>
      <c r="E173" s="27"/>
      <c r="F173" s="12"/>
    </row>
    <row r="174" hidden="1" outlineLevel="1">
      <c r="A174" s="3"/>
      <c r="B174" s="9" t="s">
        <v>139</v>
      </c>
      <c r="C174" s="3"/>
      <c r="D174" s="3"/>
      <c r="E174" s="27"/>
      <c r="F174" s="12"/>
    </row>
    <row r="175" hidden="1" outlineLevel="1">
      <c r="A175" s="3"/>
      <c r="B175" s="9" t="s">
        <v>140</v>
      </c>
      <c r="C175" s="3"/>
      <c r="D175" s="3"/>
      <c r="E175" s="27"/>
      <c r="F175" s="12"/>
    </row>
    <row r="176" hidden="1" outlineLevel="1">
      <c r="A176" s="3"/>
      <c r="B176" s="9" t="s">
        <v>141</v>
      </c>
      <c r="C176" s="3"/>
      <c r="D176" s="3"/>
      <c r="E176" s="27"/>
      <c r="F176" s="12"/>
    </row>
    <row r="177" collapsed="1">
      <c r="A177" s="3" t="s">
        <v>142</v>
      </c>
      <c r="B177" s="3" t="s">
        <v>143</v>
      </c>
      <c r="C177" s="3">
        <v>2.0</v>
      </c>
      <c r="D177" s="3">
        <v>5.0</v>
      </c>
      <c r="E177" s="27"/>
      <c r="F177" s="12"/>
    </row>
    <row r="178" hidden="1" outlineLevel="1">
      <c r="A178" s="3"/>
      <c r="B178" s="9" t="s">
        <v>144</v>
      </c>
      <c r="C178" s="3"/>
      <c r="D178" s="3"/>
      <c r="E178" s="27"/>
      <c r="F178" s="12"/>
    </row>
    <row r="179" hidden="1" outlineLevel="1">
      <c r="A179" s="3"/>
      <c r="B179" s="9" t="s">
        <v>138</v>
      </c>
      <c r="C179" s="3"/>
      <c r="D179" s="3"/>
      <c r="E179" s="27"/>
      <c r="F179" s="12"/>
    </row>
    <row r="180" hidden="1" outlineLevel="1">
      <c r="A180" s="3"/>
      <c r="B180" s="9" t="s">
        <v>139</v>
      </c>
      <c r="C180" s="3"/>
      <c r="D180" s="3"/>
      <c r="E180" s="27"/>
      <c r="F180" s="12"/>
    </row>
    <row r="181" hidden="1" outlineLevel="1">
      <c r="A181" s="3"/>
      <c r="B181" s="9" t="s">
        <v>140</v>
      </c>
      <c r="C181" s="3"/>
      <c r="D181" s="3"/>
      <c r="E181" s="27"/>
      <c r="F181" s="12"/>
    </row>
    <row r="182" hidden="1" outlineLevel="1">
      <c r="A182" s="3"/>
      <c r="B182" s="9" t="s">
        <v>141</v>
      </c>
      <c r="C182" s="3"/>
      <c r="D182" s="3"/>
      <c r="E182" s="27"/>
      <c r="F182" s="12"/>
    </row>
    <row r="183" collapsed="1">
      <c r="A183" s="3" t="s">
        <v>145</v>
      </c>
      <c r="B183" s="3" t="s">
        <v>146</v>
      </c>
      <c r="C183" s="3">
        <v>1.0</v>
      </c>
      <c r="D183" s="3">
        <v>10.0</v>
      </c>
      <c r="E183" s="27"/>
      <c r="F183" s="12"/>
    </row>
    <row r="184" hidden="1" outlineLevel="1">
      <c r="A184" s="3"/>
      <c r="B184" s="9" t="s">
        <v>147</v>
      </c>
      <c r="C184" s="3"/>
      <c r="D184" s="3"/>
      <c r="E184" s="27"/>
      <c r="F184" s="12"/>
    </row>
    <row r="185" hidden="1" outlineLevel="1">
      <c r="A185" s="3"/>
      <c r="B185" s="9" t="s">
        <v>148</v>
      </c>
      <c r="C185" s="3"/>
      <c r="D185" s="3"/>
      <c r="E185" s="27"/>
      <c r="F185" s="12"/>
    </row>
    <row r="186" hidden="1" outlineLevel="1">
      <c r="A186" s="3"/>
      <c r="B186" s="9" t="s">
        <v>149</v>
      </c>
      <c r="C186" s="3"/>
      <c r="D186" s="3"/>
      <c r="E186" s="27"/>
      <c r="F186" s="12"/>
    </row>
    <row r="187" hidden="1" outlineLevel="1">
      <c r="A187" s="3"/>
      <c r="B187" s="9" t="s">
        <v>150</v>
      </c>
      <c r="C187" s="3"/>
      <c r="D187" s="3"/>
      <c r="E187" s="27"/>
      <c r="F187" s="12"/>
    </row>
    <row r="188">
      <c r="A188" s="3" t="s">
        <v>151</v>
      </c>
      <c r="B188" s="3" t="s">
        <v>152</v>
      </c>
      <c r="C188" s="3">
        <v>1.0</v>
      </c>
      <c r="D188" s="3">
        <v>10.0</v>
      </c>
      <c r="E188" s="27"/>
      <c r="F188" s="12"/>
    </row>
    <row r="189" collapsed="1">
      <c r="A189" s="3" t="s">
        <v>153</v>
      </c>
      <c r="B189" s="8" t="s">
        <v>154</v>
      </c>
      <c r="C189" s="3">
        <v>1.0</v>
      </c>
      <c r="D189" s="3">
        <v>10.0</v>
      </c>
      <c r="E189" s="27"/>
      <c r="F189" s="12"/>
    </row>
    <row r="190" hidden="1" outlineLevel="1">
      <c r="A190" s="3"/>
      <c r="B190" s="7" t="s">
        <v>155</v>
      </c>
      <c r="C190" s="3"/>
      <c r="D190" s="3"/>
      <c r="E190" s="27"/>
      <c r="F190" s="12"/>
    </row>
    <row r="191" hidden="1" outlineLevel="1">
      <c r="A191" s="3"/>
      <c r="B191" s="7" t="s">
        <v>156</v>
      </c>
      <c r="C191" s="3"/>
      <c r="D191" s="3"/>
      <c r="E191" s="27"/>
      <c r="F191" s="12"/>
    </row>
    <row r="192" hidden="1" outlineLevel="1">
      <c r="A192" s="3"/>
      <c r="B192" s="7" t="s">
        <v>157</v>
      </c>
      <c r="C192" s="3"/>
      <c r="D192" s="3"/>
      <c r="E192" s="27"/>
      <c r="F192" s="12"/>
    </row>
    <row r="193" hidden="1" outlineLevel="1">
      <c r="A193" s="3"/>
      <c r="B193" s="7" t="s">
        <v>158</v>
      </c>
      <c r="C193" s="3"/>
      <c r="D193" s="3"/>
      <c r="E193" s="27"/>
      <c r="F193" s="12"/>
    </row>
    <row r="194" collapsed="1">
      <c r="A194" s="3" t="s">
        <v>159</v>
      </c>
      <c r="B194" s="3" t="s">
        <v>160</v>
      </c>
      <c r="C194" s="3">
        <v>2.0</v>
      </c>
      <c r="D194" s="3">
        <v>20.0</v>
      </c>
      <c r="E194" s="27"/>
      <c r="F194" s="12"/>
    </row>
    <row r="195" hidden="1" outlineLevel="1">
      <c r="A195" s="3"/>
      <c r="B195" s="9" t="s">
        <v>161</v>
      </c>
      <c r="C195" s="3"/>
      <c r="D195" s="3"/>
      <c r="E195" s="27"/>
      <c r="F195" s="12"/>
    </row>
    <row r="196" hidden="1" outlineLevel="1">
      <c r="A196" s="3"/>
      <c r="B196" s="9" t="s">
        <v>162</v>
      </c>
      <c r="C196" s="3"/>
      <c r="D196" s="3"/>
      <c r="E196" s="27"/>
      <c r="F196" s="12"/>
    </row>
    <row r="197" hidden="1" outlineLevel="1">
      <c r="A197" s="3"/>
      <c r="B197" s="9" t="s">
        <v>163</v>
      </c>
      <c r="C197" s="3"/>
      <c r="D197" s="3"/>
      <c r="E197" s="27"/>
      <c r="F197" s="12"/>
    </row>
    <row r="198" hidden="1" outlineLevel="1">
      <c r="A198" s="3"/>
      <c r="B198" s="9" t="s">
        <v>164</v>
      </c>
      <c r="C198" s="3"/>
      <c r="D198" s="3"/>
      <c r="E198" s="27"/>
      <c r="F198" s="12"/>
    </row>
    <row r="199" hidden="1" outlineLevel="1">
      <c r="A199" s="3"/>
      <c r="B199" s="9" t="s">
        <v>165</v>
      </c>
      <c r="C199" s="3"/>
      <c r="D199" s="3"/>
      <c r="E199" s="27"/>
      <c r="F199" s="12"/>
    </row>
    <row r="200" hidden="1" outlineLevel="1">
      <c r="A200" s="3"/>
      <c r="B200" s="9" t="s">
        <v>166</v>
      </c>
      <c r="C200" s="3"/>
      <c r="D200" s="3"/>
      <c r="E200" s="27"/>
      <c r="F200" s="12"/>
    </row>
    <row r="201" hidden="1" outlineLevel="1">
      <c r="A201" s="3"/>
      <c r="B201" s="9" t="s">
        <v>167</v>
      </c>
      <c r="C201" s="3"/>
      <c r="D201" s="3"/>
      <c r="E201" s="27"/>
      <c r="F201" s="12"/>
    </row>
    <row r="202" hidden="1" outlineLevel="1">
      <c r="A202" s="3"/>
      <c r="B202" s="9" t="s">
        <v>168</v>
      </c>
      <c r="C202" s="3"/>
      <c r="D202" s="3"/>
      <c r="E202" s="27"/>
      <c r="F202" s="12"/>
    </row>
    <row r="203" hidden="1" outlineLevel="1">
      <c r="A203" s="3"/>
      <c r="B203" s="9" t="s">
        <v>169</v>
      </c>
      <c r="C203" s="3"/>
      <c r="D203" s="3"/>
      <c r="E203" s="27"/>
      <c r="F203" s="12"/>
    </row>
    <row r="204" collapsed="1">
      <c r="A204" s="3" t="s">
        <v>349</v>
      </c>
      <c r="B204" s="13" t="s">
        <v>350</v>
      </c>
      <c r="C204" s="3">
        <v>1.0</v>
      </c>
      <c r="D204" s="3">
        <v>20.0</v>
      </c>
      <c r="E204" s="27" t="s">
        <v>172</v>
      </c>
      <c r="F204" s="12"/>
    </row>
    <row r="205" hidden="1" outlineLevel="1">
      <c r="A205" s="3"/>
      <c r="B205" s="9" t="s">
        <v>351</v>
      </c>
      <c r="C205" s="3"/>
      <c r="D205" s="3"/>
      <c r="E205" s="27"/>
      <c r="F205" s="12"/>
    </row>
    <row r="206" hidden="1" outlineLevel="1">
      <c r="A206" s="3"/>
      <c r="B206" s="9" t="s">
        <v>352</v>
      </c>
      <c r="C206" s="3"/>
      <c r="D206" s="3"/>
      <c r="E206" s="27"/>
      <c r="F206" s="12"/>
    </row>
    <row r="207">
      <c r="A207" s="4" t="s">
        <v>170</v>
      </c>
      <c r="B207" s="4"/>
      <c r="C207" s="4">
        <f>C2+C22+C13+C107+C132+C170</f>
        <v>103.0</v>
      </c>
      <c r="D207" s="4">
        <f>D13+D22++D107+D132+D170</f>
        <v>850.0</v>
      </c>
      <c r="E207" s="27"/>
      <c r="F207" s="12"/>
    </row>
  </sheetData>
  <printOptions/>
  <pageMargins left="0.6740767578124998" right="0.6740767578124998" top="0.7222250976562498" bottom="0.7222250976562498" footer="0.2888900390625" header="0.2888900390625"/>
  <pageSetup paperSize="9" orientation="portrait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outlinePr/>
    <pageSetUpPr/>
  </sheetPr>
  <dimension ref="A1:D195"/>
  <sheetViews>
    <sheetView topLeftCell="A88" workbookViewId="0" zoomScaleNormal="100" zoomScaleSheetLayoutView="60">
      <selection activeCell="B1" sqref="B1"/>
    </sheetView>
  </sheetViews>
  <sheetFormatPr defaultRowHeight="15.0" outlineLevelRow="1"/>
  <cols>
    <col min="1" max="1" width="6.251953125" bestFit="1" customWidth="1"/>
    <col min="2" max="2" width="55.126953125" customWidth="1"/>
    <col min="3" max="3" width="7.001953125" bestFit="1" customWidth="1"/>
    <col min="4" max="4" width="8.876953125" bestFit="1" customWidth="1"/>
  </cols>
  <sheetData>
    <row r="1" ht="45.0">
      <c r="A1" s="1" t="s">
        <v>0</v>
      </c>
      <c r="B1" s="1" t="s">
        <v>1</v>
      </c>
      <c r="C1" s="1" t="s">
        <v>2</v>
      </c>
      <c r="D1" s="2" t="s">
        <v>3</v>
      </c>
    </row>
    <row r="2">
      <c r="A2" s="3"/>
      <c r="B2" s="4" t="s">
        <v>4</v>
      </c>
      <c r="C2" s="4">
        <f>SUM(C3:C8)</f>
        <v>6.0</v>
      </c>
      <c r="D2" s="4">
        <f>SUM(D3:D8)</f>
        <v>30.0</v>
      </c>
    </row>
    <row r="3">
      <c r="A3" s="3" t="s">
        <v>5</v>
      </c>
      <c r="B3" s="3" t="s">
        <v>6</v>
      </c>
      <c r="C3" s="3">
        <v>1.0</v>
      </c>
      <c r="D3" s="3">
        <v>5.0</v>
      </c>
    </row>
    <row r="4" collapsed="1">
      <c r="A4" s="3" t="s">
        <v>7</v>
      </c>
      <c r="B4" s="5" t="s">
        <v>8</v>
      </c>
      <c r="C4" s="3">
        <v>3.0</v>
      </c>
      <c r="D4" s="6">
        <v>15.0</v>
      </c>
    </row>
    <row r="5" hidden="1" outlineLevel="1">
      <c r="A5" s="3"/>
      <c r="B5" s="7" t="s">
        <v>9</v>
      </c>
      <c r="C5" s="3"/>
      <c r="D5" s="6"/>
    </row>
    <row r="6" hidden="1" outlineLevel="1">
      <c r="A6" s="3"/>
      <c r="B6" s="7" t="s">
        <v>10</v>
      </c>
      <c r="C6" s="3"/>
      <c r="D6" s="6"/>
    </row>
    <row r="7" hidden="1" outlineLevel="1">
      <c r="A7" s="3"/>
      <c r="B7" s="7" t="s">
        <v>11</v>
      </c>
      <c r="C7" s="3"/>
      <c r="D7" s="6"/>
    </row>
    <row r="8" collapsed="1">
      <c r="A8" s="3" t="s">
        <v>12</v>
      </c>
      <c r="B8" s="8" t="s">
        <v>13</v>
      </c>
      <c r="C8" s="3">
        <v>2.0</v>
      </c>
      <c r="D8" s="3">
        <v>10.0</v>
      </c>
    </row>
    <row r="9" hidden="1" outlineLevel="1">
      <c r="A9" s="3"/>
      <c r="B9" s="7" t="s">
        <v>14</v>
      </c>
      <c r="C9" s="3"/>
      <c r="D9" s="3"/>
    </row>
    <row r="10" hidden="1" outlineLevel="1">
      <c r="A10" s="3"/>
      <c r="B10" s="9" t="s">
        <v>15</v>
      </c>
      <c r="C10" s="3"/>
      <c r="D10" s="3"/>
    </row>
    <row r="11" hidden="1" outlineLevel="1">
      <c r="A11" s="3"/>
      <c r="B11" s="9" t="s">
        <v>16</v>
      </c>
      <c r="C11" s="3"/>
      <c r="D11" s="3"/>
    </row>
    <row r="12">
      <c r="A12" s="3"/>
      <c r="B12" s="3"/>
      <c r="C12" s="3"/>
      <c r="D12" s="3"/>
    </row>
    <row r="13">
      <c r="A13" s="3"/>
      <c r="B13" s="4" t="s">
        <v>17</v>
      </c>
      <c r="C13" s="4">
        <f>SUM(C14,C20)</f>
        <v>3.0</v>
      </c>
      <c r="D13" s="4">
        <f>SUM(D14:D20)</f>
        <v>30.0</v>
      </c>
    </row>
    <row r="14" collapsed="1">
      <c r="A14" s="3" t="s">
        <v>18</v>
      </c>
      <c r="B14" s="5" t="s">
        <v>19</v>
      </c>
      <c r="C14" s="3">
        <v>1.0</v>
      </c>
      <c r="D14" s="3">
        <v>10.0</v>
      </c>
    </row>
    <row r="15" hidden="1" outlineLevel="1">
      <c r="A15" s="3"/>
      <c r="B15" s="7" t="s">
        <v>20</v>
      </c>
      <c r="C15" s="3"/>
      <c r="D15" s="3"/>
    </row>
    <row r="16" hidden="1" outlineLevel="1">
      <c r="A16" s="3"/>
      <c r="B16" s="7" t="s">
        <v>21</v>
      </c>
      <c r="C16" s="3"/>
      <c r="D16" s="3"/>
    </row>
    <row r="17" hidden="1" outlineLevel="1">
      <c r="A17" s="3"/>
      <c r="B17" s="7" t="s">
        <v>22</v>
      </c>
      <c r="C17" s="3"/>
      <c r="D17" s="3"/>
    </row>
    <row r="18" hidden="1" outlineLevel="1">
      <c r="A18" s="3"/>
      <c r="B18" s="7" t="s">
        <v>23</v>
      </c>
      <c r="C18" s="3"/>
      <c r="D18" s="3"/>
    </row>
    <row r="19" hidden="1" outlineLevel="1">
      <c r="A19" s="3"/>
      <c r="B19" s="7" t="s">
        <v>24</v>
      </c>
      <c r="C19" s="3"/>
      <c r="D19" s="3"/>
    </row>
    <row r="20">
      <c r="A20" s="3" t="s">
        <v>25</v>
      </c>
      <c r="B20" s="8" t="s">
        <v>26</v>
      </c>
      <c r="C20" s="3">
        <v>2.0</v>
      </c>
      <c r="D20" s="3">
        <v>20.0</v>
      </c>
    </row>
    <row r="21">
      <c r="A21" s="3"/>
      <c r="B21" s="8"/>
      <c r="C21" s="3"/>
      <c r="D21" s="3"/>
    </row>
    <row r="22">
      <c r="A22" s="3"/>
      <c r="B22" s="4" t="s">
        <v>577</v>
      </c>
      <c r="C22" s="4">
        <f>SUM(C23:C93)</f>
        <v>40.0</v>
      </c>
      <c r="D22" s="4">
        <f>SUM(D23:D93)</f>
        <v>330.0</v>
      </c>
    </row>
    <row r="23" collapsed="1">
      <c r="A23" s="3" t="s">
        <v>578</v>
      </c>
      <c r="B23" s="3" t="s">
        <v>63</v>
      </c>
      <c r="C23" s="3">
        <v>1.0</v>
      </c>
      <c r="D23" s="3">
        <v>5.0</v>
      </c>
    </row>
    <row r="24" hidden="1" outlineLevel="1">
      <c r="A24" s="3"/>
      <c r="B24" s="9" t="s">
        <v>579</v>
      </c>
      <c r="C24" s="3"/>
      <c r="D24" s="3"/>
    </row>
    <row r="25" hidden="1" outlineLevel="1">
      <c r="A25" s="3"/>
      <c r="B25" s="9" t="s">
        <v>580</v>
      </c>
      <c r="C25" s="3"/>
      <c r="D25" s="3"/>
    </row>
    <row r="26" hidden="1" outlineLevel="1">
      <c r="A26" s="3"/>
      <c r="B26" s="9" t="s">
        <v>581</v>
      </c>
      <c r="C26" s="3"/>
      <c r="D26" s="3"/>
    </row>
    <row r="27">
      <c r="A27" s="3" t="s">
        <v>582</v>
      </c>
      <c r="B27" s="3" t="s">
        <v>378</v>
      </c>
      <c r="C27" s="3">
        <v>2.0</v>
      </c>
      <c r="D27" s="3">
        <v>20.0</v>
      </c>
    </row>
    <row r="28" collapsed="1">
      <c r="A28" s="3" t="s">
        <v>583</v>
      </c>
      <c r="B28" s="3" t="s">
        <v>584</v>
      </c>
      <c r="C28" s="3">
        <v>1.0</v>
      </c>
      <c r="D28" s="3">
        <v>5.0</v>
      </c>
    </row>
    <row r="29" hidden="1" outlineLevel="1">
      <c r="A29" s="3"/>
      <c r="B29" s="9" t="s">
        <v>585</v>
      </c>
      <c r="C29" s="3"/>
      <c r="D29" s="3"/>
    </row>
    <row r="30" hidden="1" outlineLevel="1">
      <c r="A30" s="3"/>
      <c r="B30" s="9" t="s">
        <v>586</v>
      </c>
      <c r="C30" s="3"/>
      <c r="D30" s="3"/>
    </row>
    <row r="31" hidden="1" outlineLevel="1">
      <c r="A31" s="3"/>
      <c r="B31" s="9" t="s">
        <v>587</v>
      </c>
      <c r="C31" s="3"/>
      <c r="D31" s="3"/>
    </row>
    <row r="32" hidden="1" outlineLevel="1">
      <c r="A32" s="3"/>
      <c r="B32" s="9" t="s">
        <v>588</v>
      </c>
      <c r="C32" s="3"/>
      <c r="D32" s="3"/>
    </row>
    <row r="33" hidden="1" outlineLevel="1">
      <c r="A33" s="3"/>
      <c r="B33" s="9" t="s">
        <v>589</v>
      </c>
      <c r="C33" s="3"/>
      <c r="D33" s="3"/>
    </row>
    <row r="34" hidden="1" outlineLevel="1">
      <c r="A34" s="3"/>
      <c r="B34" s="9" t="s">
        <v>590</v>
      </c>
      <c r="C34" s="3"/>
      <c r="D34" s="3"/>
    </row>
    <row r="35" hidden="1" outlineLevel="1">
      <c r="A35" s="3"/>
      <c r="B35" s="9" t="s">
        <v>591</v>
      </c>
      <c r="C35" s="3"/>
      <c r="D35" s="3"/>
    </row>
    <row r="36" hidden="1" outlineLevel="1">
      <c r="A36" s="3"/>
      <c r="B36" s="9" t="s">
        <v>592</v>
      </c>
      <c r="C36" s="3"/>
      <c r="D36" s="3"/>
    </row>
    <row r="37">
      <c r="A37" s="3" t="s">
        <v>593</v>
      </c>
      <c r="B37" s="3" t="s">
        <v>34</v>
      </c>
      <c r="C37" s="3">
        <v>1.0</v>
      </c>
      <c r="D37" s="3">
        <v>5.0</v>
      </c>
    </row>
    <row r="38" collapsed="1">
      <c r="A38" s="3" t="s">
        <v>594</v>
      </c>
      <c r="B38" s="3" t="s">
        <v>595</v>
      </c>
      <c r="C38" s="3">
        <v>1.0</v>
      </c>
      <c r="D38" s="3">
        <v>5.0</v>
      </c>
    </row>
    <row r="39" hidden="1" outlineLevel="1">
      <c r="A39" s="3"/>
      <c r="B39" s="9" t="s">
        <v>596</v>
      </c>
      <c r="C39" s="3"/>
      <c r="D39" s="3"/>
    </row>
    <row r="40" hidden="1" outlineLevel="1">
      <c r="A40" s="3"/>
      <c r="B40" s="9" t="s">
        <v>597</v>
      </c>
      <c r="C40" s="3"/>
      <c r="D40" s="3"/>
    </row>
    <row r="41" hidden="1" outlineLevel="1">
      <c r="A41" s="3"/>
      <c r="B41" s="9" t="s">
        <v>598</v>
      </c>
      <c r="C41" s="3"/>
      <c r="D41" s="3"/>
    </row>
    <row r="42" hidden="1" outlineLevel="1">
      <c r="A42" s="3"/>
      <c r="B42" s="9" t="s">
        <v>599</v>
      </c>
      <c r="C42" s="3"/>
      <c r="D42" s="3"/>
    </row>
    <row r="43" collapsed="1">
      <c r="A43" s="3" t="s">
        <v>600</v>
      </c>
      <c r="B43" s="3" t="s">
        <v>601</v>
      </c>
      <c r="C43" s="3">
        <v>1.0</v>
      </c>
      <c r="D43" s="3">
        <v>5.0</v>
      </c>
    </row>
    <row r="44" hidden="1" outlineLevel="1">
      <c r="A44" s="3"/>
      <c r="B44" s="9" t="s">
        <v>602</v>
      </c>
      <c r="C44" s="3"/>
      <c r="D44" s="3"/>
    </row>
    <row r="45" hidden="1" outlineLevel="1">
      <c r="A45" s="3"/>
      <c r="B45" s="9" t="s">
        <v>603</v>
      </c>
      <c r="C45" s="3"/>
      <c r="D45" s="3"/>
    </row>
    <row r="46" hidden="1" outlineLevel="1">
      <c r="A46" s="3"/>
      <c r="B46" s="9" t="s">
        <v>604</v>
      </c>
      <c r="C46" s="3"/>
      <c r="D46" s="3"/>
    </row>
    <row r="47">
      <c r="A47" s="3" t="s">
        <v>605</v>
      </c>
      <c r="B47" s="44" t="s">
        <v>606</v>
      </c>
      <c r="C47" s="3">
        <v>1.0</v>
      </c>
      <c r="D47" s="3">
        <v>5.0</v>
      </c>
    </row>
    <row r="48">
      <c r="A48" s="3" t="s">
        <v>607</v>
      </c>
      <c r="B48" s="3" t="s">
        <v>608</v>
      </c>
      <c r="C48" s="3">
        <v>1.0</v>
      </c>
      <c r="D48" s="3">
        <v>5.0</v>
      </c>
    </row>
    <row r="49" collapsed="1">
      <c r="A49" s="3" t="s">
        <v>609</v>
      </c>
      <c r="B49" s="3" t="s">
        <v>610</v>
      </c>
      <c r="C49" s="3">
        <v>1.0</v>
      </c>
      <c r="D49" s="3">
        <v>15.0</v>
      </c>
    </row>
    <row r="50" hidden="1" outlineLevel="1">
      <c r="A50" s="3"/>
      <c r="B50" s="9" t="s">
        <v>611</v>
      </c>
      <c r="C50" s="3"/>
      <c r="D50" s="3"/>
    </row>
    <row r="51" hidden="1" outlineLevel="1">
      <c r="A51" s="3"/>
      <c r="B51" s="9" t="s">
        <v>612</v>
      </c>
      <c r="C51" s="3"/>
      <c r="D51" s="3"/>
    </row>
    <row r="52" collapsed="1">
      <c r="A52" s="3" t="s">
        <v>613</v>
      </c>
      <c r="B52" s="3" t="s">
        <v>614</v>
      </c>
      <c r="C52" s="3">
        <v>2.0</v>
      </c>
      <c r="D52" s="3">
        <v>20.0</v>
      </c>
    </row>
    <row r="53" hidden="1" outlineLevel="1">
      <c r="A53" s="3"/>
      <c r="B53" s="9" t="s">
        <v>615</v>
      </c>
      <c r="C53" s="3"/>
      <c r="D53" s="3"/>
    </row>
    <row r="54" hidden="1" outlineLevel="1">
      <c r="A54" s="3"/>
      <c r="B54" s="9" t="s">
        <v>616</v>
      </c>
      <c r="C54" s="3"/>
      <c r="D54" s="3"/>
    </row>
    <row r="55" hidden="1" outlineLevel="1">
      <c r="A55" s="3"/>
      <c r="B55" s="9" t="s">
        <v>617</v>
      </c>
      <c r="C55" s="3"/>
      <c r="D55" s="3"/>
    </row>
    <row r="56" hidden="1" outlineLevel="1">
      <c r="A56" s="3"/>
      <c r="B56" s="9" t="s">
        <v>618</v>
      </c>
      <c r="C56" s="3"/>
      <c r="D56" s="3"/>
    </row>
    <row r="57" collapsed="1">
      <c r="A57" s="3" t="s">
        <v>619</v>
      </c>
      <c r="B57" s="3" t="s">
        <v>620</v>
      </c>
      <c r="C57" s="3">
        <v>2.0</v>
      </c>
      <c r="D57" s="3">
        <v>15.0</v>
      </c>
    </row>
    <row r="58" hidden="1" outlineLevel="1">
      <c r="A58" s="3"/>
      <c r="B58" s="9" t="s">
        <v>621</v>
      </c>
      <c r="C58" s="3"/>
      <c r="D58" s="3"/>
    </row>
    <row r="59" hidden="1" outlineLevel="1">
      <c r="A59" s="3"/>
      <c r="B59" s="9" t="s">
        <v>622</v>
      </c>
      <c r="C59" s="3"/>
      <c r="D59" s="3"/>
    </row>
    <row r="60" hidden="1" outlineLevel="1">
      <c r="A60" s="3"/>
      <c r="B60" s="9" t="s">
        <v>623</v>
      </c>
      <c r="C60" s="3"/>
      <c r="D60" s="3"/>
    </row>
    <row r="61" hidden="1" outlineLevel="1">
      <c r="A61" s="3"/>
      <c r="B61" s="9" t="s">
        <v>624</v>
      </c>
      <c r="C61" s="3"/>
      <c r="D61" s="3"/>
    </row>
    <row r="62" collapsed="1">
      <c r="A62" s="3" t="s">
        <v>625</v>
      </c>
      <c r="B62" s="3" t="s">
        <v>626</v>
      </c>
      <c r="C62" s="3">
        <v>2.0</v>
      </c>
      <c r="D62" s="3">
        <v>20.0</v>
      </c>
    </row>
    <row r="63" hidden="1" outlineLevel="1">
      <c r="A63" s="3"/>
      <c r="B63" s="9" t="s">
        <v>627</v>
      </c>
      <c r="C63" s="3"/>
      <c r="D63" s="3"/>
    </row>
    <row r="64" hidden="1" outlineLevel="1">
      <c r="A64" s="3"/>
      <c r="B64" s="9" t="s">
        <v>628</v>
      </c>
      <c r="C64" s="3"/>
      <c r="D64" s="3"/>
    </row>
    <row r="65" collapsed="1">
      <c r="A65" s="3" t="s">
        <v>629</v>
      </c>
      <c r="B65" s="3" t="s">
        <v>630</v>
      </c>
      <c r="C65" s="3">
        <v>2.0</v>
      </c>
      <c r="D65" s="3">
        <v>15.0</v>
      </c>
    </row>
    <row r="66" hidden="1" outlineLevel="1">
      <c r="A66" s="3"/>
      <c r="B66" s="9" t="s">
        <v>631</v>
      </c>
      <c r="C66" s="3"/>
      <c r="D66" s="3"/>
    </row>
    <row r="67" hidden="1" outlineLevel="1">
      <c r="A67" s="3"/>
      <c r="B67" s="9" t="s">
        <v>632</v>
      </c>
      <c r="C67" s="3"/>
      <c r="D67" s="3"/>
    </row>
    <row r="68">
      <c r="A68" s="3" t="s">
        <v>633</v>
      </c>
      <c r="B68" s="3" t="s">
        <v>634</v>
      </c>
      <c r="C68" s="3">
        <v>2.0</v>
      </c>
      <c r="D68" s="3">
        <v>20.0</v>
      </c>
    </row>
    <row r="69" collapsed="1">
      <c r="A69" s="3" t="s">
        <v>635</v>
      </c>
      <c r="B69" s="3" t="s">
        <v>636</v>
      </c>
      <c r="C69" s="3">
        <v>3.0</v>
      </c>
      <c r="D69" s="3">
        <v>25.0</v>
      </c>
    </row>
    <row r="70" hidden="1" outlineLevel="1">
      <c r="A70" s="3"/>
      <c r="B70" s="9" t="s">
        <v>637</v>
      </c>
      <c r="C70" s="3"/>
      <c r="D70" s="3"/>
    </row>
    <row r="71" collapsed="1">
      <c r="A71" s="3" t="s">
        <v>638</v>
      </c>
      <c r="B71" s="3" t="s">
        <v>639</v>
      </c>
      <c r="C71" s="3">
        <v>2.0</v>
      </c>
      <c r="D71" s="3">
        <v>20.0</v>
      </c>
    </row>
    <row r="72" hidden="1" outlineLevel="1">
      <c r="A72" s="3"/>
      <c r="B72" s="9" t="s">
        <v>640</v>
      </c>
      <c r="C72" s="3"/>
      <c r="D72" s="3"/>
    </row>
    <row r="73" hidden="1" outlineLevel="1">
      <c r="A73" s="3"/>
      <c r="B73" s="9" t="s">
        <v>641</v>
      </c>
      <c r="C73" s="3"/>
      <c r="D73" s="3"/>
    </row>
    <row r="74" hidden="1" outlineLevel="1">
      <c r="A74" s="3"/>
      <c r="B74" s="9" t="s">
        <v>642</v>
      </c>
      <c r="C74" s="3"/>
      <c r="D74" s="3"/>
    </row>
    <row r="75" collapsed="1">
      <c r="A75" s="3" t="s">
        <v>643</v>
      </c>
      <c r="B75" s="3" t="s">
        <v>644</v>
      </c>
      <c r="C75" s="3">
        <v>3.0</v>
      </c>
      <c r="D75" s="3">
        <v>25.0</v>
      </c>
    </row>
    <row r="76" hidden="1" outlineLevel="1">
      <c r="A76" s="3"/>
      <c r="B76" s="9" t="s">
        <v>645</v>
      </c>
      <c r="C76" s="3"/>
      <c r="D76" s="3"/>
    </row>
    <row r="77" hidden="1" outlineLevel="1">
      <c r="A77" s="3"/>
      <c r="B77" s="9" t="s">
        <v>646</v>
      </c>
      <c r="C77" s="3"/>
      <c r="D77" s="3"/>
    </row>
    <row r="78" hidden="1" outlineLevel="1">
      <c r="A78" s="3"/>
      <c r="B78" s="9" t="s">
        <v>647</v>
      </c>
      <c r="C78" s="3"/>
      <c r="D78" s="3"/>
    </row>
    <row r="79" hidden="1" outlineLevel="1">
      <c r="A79" s="3"/>
      <c r="B79" s="9" t="s">
        <v>648</v>
      </c>
      <c r="C79" s="3"/>
      <c r="D79" s="3"/>
    </row>
    <row r="80" hidden="1" outlineLevel="1">
      <c r="A80" s="3"/>
      <c r="B80" s="9" t="s">
        <v>649</v>
      </c>
      <c r="C80" s="3"/>
      <c r="D80" s="3"/>
    </row>
    <row r="81" collapsed="1">
      <c r="A81" s="3" t="s">
        <v>650</v>
      </c>
      <c r="B81" s="3" t="s">
        <v>651</v>
      </c>
      <c r="C81" s="3">
        <v>3.0</v>
      </c>
      <c r="D81" s="3">
        <v>20.0</v>
      </c>
    </row>
    <row r="82" hidden="1" outlineLevel="1">
      <c r="A82" s="3"/>
      <c r="B82" s="9" t="s">
        <v>440</v>
      </c>
      <c r="C82" s="3"/>
      <c r="D82" s="3"/>
    </row>
    <row r="83" hidden="1" outlineLevel="1">
      <c r="A83" s="3"/>
      <c r="B83" s="9" t="s">
        <v>438</v>
      </c>
      <c r="C83" s="3"/>
      <c r="D83" s="3"/>
    </row>
    <row r="84" hidden="1" outlineLevel="1">
      <c r="A84" s="3"/>
      <c r="B84" s="9" t="s">
        <v>652</v>
      </c>
      <c r="C84" s="3"/>
      <c r="D84" s="3"/>
    </row>
    <row r="85" hidden="1" outlineLevel="1">
      <c r="A85" s="3"/>
      <c r="B85" s="9" t="s">
        <v>653</v>
      </c>
      <c r="C85" s="3"/>
      <c r="D85" s="3"/>
    </row>
    <row r="86" hidden="1" outlineLevel="1">
      <c r="A86" s="3"/>
      <c r="B86" s="9" t="s">
        <v>654</v>
      </c>
      <c r="C86" s="3"/>
      <c r="D86" s="3"/>
    </row>
    <row r="87">
      <c r="A87" s="3" t="s">
        <v>655</v>
      </c>
      <c r="B87" s="3" t="s">
        <v>656</v>
      </c>
      <c r="C87" s="3">
        <v>3.0</v>
      </c>
      <c r="D87" s="3">
        <v>20.0</v>
      </c>
    </row>
    <row r="88" collapsed="1">
      <c r="A88" s="3" t="s">
        <v>657</v>
      </c>
      <c r="B88" s="3" t="s">
        <v>658</v>
      </c>
      <c r="C88" s="3">
        <v>2.0</v>
      </c>
      <c r="D88" s="3">
        <v>20.0</v>
      </c>
    </row>
    <row r="89" hidden="1" outlineLevel="1">
      <c r="A89" s="3"/>
      <c r="B89" s="9" t="s">
        <v>659</v>
      </c>
      <c r="C89" s="3"/>
      <c r="D89" s="3"/>
    </row>
    <row r="90" hidden="1" outlineLevel="1">
      <c r="A90" s="3"/>
      <c r="B90" s="9" t="s">
        <v>660</v>
      </c>
      <c r="C90" s="3"/>
      <c r="D90" s="3"/>
    </row>
    <row r="91" hidden="1" outlineLevel="1">
      <c r="A91" s="3"/>
      <c r="B91" s="9" t="s">
        <v>661</v>
      </c>
      <c r="C91" s="3"/>
      <c r="D91" s="3"/>
    </row>
    <row r="92">
      <c r="A92" s="3" t="s">
        <v>662</v>
      </c>
      <c r="B92" s="3" t="s">
        <v>663</v>
      </c>
      <c r="C92" s="3">
        <v>2.0</v>
      </c>
      <c r="D92" s="3">
        <v>20.0</v>
      </c>
    </row>
    <row r="93" collapsed="1">
      <c r="A93" s="3" t="s">
        <v>664</v>
      </c>
      <c r="B93" s="3" t="s">
        <v>665</v>
      </c>
      <c r="C93" s="3">
        <v>2.0</v>
      </c>
      <c r="D93" s="3">
        <v>20.0</v>
      </c>
    </row>
    <row r="94">
      <c r="A94" s="3"/>
      <c r="B94" s="3"/>
      <c r="C94" s="3"/>
      <c r="D94" s="3"/>
    </row>
    <row r="95">
      <c r="A95" s="3"/>
      <c r="B95" s="4" t="s">
        <v>61</v>
      </c>
      <c r="C95" s="4">
        <f>SUM(C96:C113)</f>
        <v>9.0</v>
      </c>
      <c r="D95" s="4">
        <f>SUM(D96:D113)</f>
        <v>90.0</v>
      </c>
    </row>
    <row r="96" collapsed="1">
      <c r="A96" s="3" t="s">
        <v>62</v>
      </c>
      <c r="B96" s="8" t="s">
        <v>19</v>
      </c>
      <c r="C96" s="3">
        <v>2.0</v>
      </c>
      <c r="D96" s="3">
        <v>20.0</v>
      </c>
    </row>
    <row r="97" hidden="1" outlineLevel="1">
      <c r="A97" s="3"/>
      <c r="B97" s="7" t="s">
        <v>63</v>
      </c>
      <c r="C97" s="3"/>
      <c r="D97" s="3"/>
    </row>
    <row r="98" hidden="1" outlineLevel="1">
      <c r="A98" s="3"/>
      <c r="B98" s="7" t="s">
        <v>64</v>
      </c>
      <c r="C98" s="3"/>
      <c r="D98" s="3"/>
    </row>
    <row r="99" hidden="1" outlineLevel="1">
      <c r="A99" s="3"/>
      <c r="B99" s="7" t="s">
        <v>65</v>
      </c>
      <c r="C99" s="3"/>
      <c r="D99" s="3"/>
    </row>
    <row r="100" hidden="1" outlineLevel="1">
      <c r="A100" s="3"/>
      <c r="B100" s="7" t="s">
        <v>66</v>
      </c>
      <c r="C100" s="3"/>
      <c r="D100" s="3"/>
    </row>
    <row r="101" hidden="1" outlineLevel="1">
      <c r="A101" s="3"/>
      <c r="B101" s="7" t="s">
        <v>67</v>
      </c>
      <c r="C101" s="3"/>
      <c r="D101" s="3"/>
    </row>
    <row r="102" collapsed="1">
      <c r="A102" s="3" t="s">
        <v>68</v>
      </c>
      <c r="B102" s="3" t="s">
        <v>69</v>
      </c>
      <c r="C102" s="3">
        <v>2.0</v>
      </c>
      <c r="D102" s="3">
        <v>20.0</v>
      </c>
    </row>
    <row r="103" hidden="1" outlineLevel="1">
      <c r="A103" s="3"/>
      <c r="B103" s="9" t="s">
        <v>70</v>
      </c>
      <c r="C103" s="3"/>
      <c r="D103" s="3"/>
    </row>
    <row r="104" hidden="1" outlineLevel="1">
      <c r="A104" s="3"/>
      <c r="B104" s="9" t="s">
        <v>71</v>
      </c>
      <c r="C104" s="3"/>
      <c r="D104" s="3"/>
    </row>
    <row r="105" hidden="1" outlineLevel="1">
      <c r="A105" s="3"/>
      <c r="B105" s="9" t="s">
        <v>72</v>
      </c>
      <c r="C105" s="3"/>
      <c r="D105" s="3"/>
    </row>
    <row r="106" collapsed="1">
      <c r="A106" s="3" t="s">
        <v>73</v>
      </c>
      <c r="B106" s="3" t="s">
        <v>74</v>
      </c>
      <c r="C106" s="3">
        <v>2.0</v>
      </c>
      <c r="D106" s="3">
        <v>20.0</v>
      </c>
    </row>
    <row r="107" hidden="1" outlineLevel="1">
      <c r="A107" s="3"/>
      <c r="B107" s="9" t="s">
        <v>75</v>
      </c>
      <c r="C107" s="3"/>
      <c r="D107" s="3"/>
    </row>
    <row r="108" hidden="1" outlineLevel="1">
      <c r="A108" s="3"/>
      <c r="B108" s="9" t="s">
        <v>76</v>
      </c>
      <c r="C108" s="3"/>
      <c r="D108" s="3"/>
    </row>
    <row r="109" hidden="1" outlineLevel="1">
      <c r="A109" s="3"/>
      <c r="B109" s="9" t="s">
        <v>77</v>
      </c>
      <c r="C109" s="3"/>
      <c r="D109" s="3"/>
    </row>
    <row r="110" collapsed="1">
      <c r="A110" s="3" t="s">
        <v>78</v>
      </c>
      <c r="B110" s="5" t="s">
        <v>79</v>
      </c>
      <c r="C110" s="3">
        <v>1.0</v>
      </c>
      <c r="D110" s="3">
        <v>15.0</v>
      </c>
    </row>
    <row r="111" hidden="1" outlineLevel="1">
      <c r="A111" s="3"/>
      <c r="B111" s="7" t="s">
        <v>80</v>
      </c>
      <c r="C111" s="3"/>
      <c r="D111" s="3"/>
    </row>
    <row r="112" hidden="1" outlineLevel="1">
      <c r="A112" s="3"/>
      <c r="B112" s="7" t="s">
        <v>81</v>
      </c>
      <c r="C112" s="3"/>
      <c r="D112" s="3"/>
    </row>
    <row r="113" collapsed="1">
      <c r="A113" s="3" t="s">
        <v>82</v>
      </c>
      <c r="B113" s="10" t="s">
        <v>83</v>
      </c>
      <c r="C113" s="3">
        <v>2.0</v>
      </c>
      <c r="D113" s="3">
        <v>15.0</v>
      </c>
    </row>
    <row r="114" hidden="1" outlineLevel="1">
      <c r="A114" s="3"/>
      <c r="B114" s="7" t="s">
        <v>84</v>
      </c>
      <c r="C114" s="3"/>
      <c r="D114" s="3"/>
    </row>
    <row r="115" hidden="1" outlineLevel="1">
      <c r="A115" s="3"/>
      <c r="B115" s="7" t="s">
        <v>85</v>
      </c>
      <c r="C115" s="3"/>
      <c r="D115" s="3"/>
    </row>
    <row r="116" hidden="1" outlineLevel="1">
      <c r="A116" s="3"/>
      <c r="B116" s="7" t="s">
        <v>86</v>
      </c>
      <c r="C116" s="3"/>
      <c r="D116" s="3"/>
    </row>
    <row r="117" hidden="1" outlineLevel="1">
      <c r="A117" s="3"/>
      <c r="B117" s="7" t="s">
        <v>87</v>
      </c>
      <c r="C117" s="3"/>
      <c r="D117" s="3"/>
    </row>
    <row r="118" hidden="1" outlineLevel="1">
      <c r="A118" s="3"/>
      <c r="B118" s="7" t="s">
        <v>88</v>
      </c>
      <c r="C118" s="3"/>
      <c r="D118" s="3"/>
    </row>
    <row r="119">
      <c r="A119" s="3"/>
      <c r="B119" s="3"/>
      <c r="C119" s="3"/>
      <c r="D119" s="3"/>
    </row>
    <row r="120">
      <c r="A120" s="3"/>
      <c r="B120" s="4" t="s">
        <v>89</v>
      </c>
      <c r="C120" s="4">
        <f>SUM(C121:C155)</f>
        <v>13.0</v>
      </c>
      <c r="D120" s="4">
        <f>SUM(D121:D155)</f>
        <v>120.0</v>
      </c>
    </row>
    <row r="121">
      <c r="A121" s="3" t="s">
        <v>90</v>
      </c>
      <c r="B121" s="5" t="s">
        <v>91</v>
      </c>
      <c r="C121" s="3">
        <v>1.0</v>
      </c>
      <c r="D121" s="3">
        <v>10.0</v>
      </c>
    </row>
    <row r="122" collapsed="1">
      <c r="A122" s="3" t="s">
        <v>92</v>
      </c>
      <c r="B122" s="5" t="s">
        <v>93</v>
      </c>
      <c r="C122" s="3">
        <v>1.0</v>
      </c>
      <c r="D122" s="3">
        <v>10.0</v>
      </c>
    </row>
    <row r="123" hidden="1" outlineLevel="1">
      <c r="A123" s="3"/>
      <c r="B123" s="7" t="s">
        <v>94</v>
      </c>
      <c r="C123" s="3"/>
      <c r="D123" s="3"/>
    </row>
    <row r="124" hidden="1" outlineLevel="1">
      <c r="A124" s="3"/>
      <c r="B124" s="7" t="s">
        <v>95</v>
      </c>
      <c r="C124" s="3"/>
      <c r="D124" s="3"/>
    </row>
    <row r="125" hidden="1" outlineLevel="1">
      <c r="A125" s="3"/>
      <c r="B125" s="7" t="s">
        <v>96</v>
      </c>
      <c r="C125" s="3"/>
      <c r="D125" s="3"/>
    </row>
    <row r="126" hidden="1" outlineLevel="1">
      <c r="A126" s="3"/>
      <c r="B126" s="7" t="s">
        <v>97</v>
      </c>
      <c r="C126" s="3"/>
      <c r="D126" s="3"/>
    </row>
    <row r="127" hidden="1" outlineLevel="1">
      <c r="A127" s="3"/>
      <c r="B127" s="7" t="s">
        <v>98</v>
      </c>
      <c r="C127" s="3"/>
      <c r="D127" s="3"/>
    </row>
    <row r="128" collapsed="1">
      <c r="A128" s="3" t="s">
        <v>99</v>
      </c>
      <c r="B128" s="3" t="s">
        <v>100</v>
      </c>
      <c r="C128" s="3">
        <v>2.0</v>
      </c>
      <c r="D128" s="3">
        <v>10.0</v>
      </c>
    </row>
    <row r="129" hidden="1" outlineLevel="1">
      <c r="A129" s="3"/>
      <c r="B129" s="9" t="s">
        <v>101</v>
      </c>
      <c r="C129" s="3"/>
      <c r="D129" s="3"/>
    </row>
    <row r="130" hidden="1" outlineLevel="1">
      <c r="A130" s="3"/>
      <c r="B130" s="9" t="s">
        <v>102</v>
      </c>
      <c r="C130" s="3"/>
      <c r="D130" s="3"/>
    </row>
    <row r="131" collapsed="1">
      <c r="A131" s="3" t="s">
        <v>103</v>
      </c>
      <c r="B131" s="5" t="s">
        <v>104</v>
      </c>
      <c r="C131" s="3">
        <v>1.0</v>
      </c>
      <c r="D131" s="3">
        <v>10.0</v>
      </c>
    </row>
    <row r="132" hidden="1" outlineLevel="1">
      <c r="A132" s="3"/>
      <c r="B132" s="7" t="s">
        <v>105</v>
      </c>
      <c r="C132" s="3"/>
      <c r="D132" s="3"/>
    </row>
    <row r="133" hidden="1" outlineLevel="1">
      <c r="A133" s="3"/>
      <c r="B133" s="7" t="s">
        <v>106</v>
      </c>
      <c r="C133" s="3"/>
      <c r="D133" s="3"/>
    </row>
    <row r="134" hidden="1" outlineLevel="1">
      <c r="A134" s="3"/>
      <c r="B134" s="7" t="s">
        <v>107</v>
      </c>
      <c r="C134" s="3"/>
      <c r="D134" s="3"/>
    </row>
    <row r="135" hidden="1" outlineLevel="1">
      <c r="A135" s="3"/>
      <c r="B135" s="7" t="s">
        <v>108</v>
      </c>
      <c r="C135" s="3"/>
      <c r="D135" s="3"/>
    </row>
    <row r="136" hidden="1" outlineLevel="1">
      <c r="A136" s="3"/>
      <c r="B136" s="7" t="s">
        <v>109</v>
      </c>
      <c r="C136" s="3"/>
      <c r="D136" s="3"/>
    </row>
    <row r="137" collapsed="1">
      <c r="A137" s="3" t="s">
        <v>110</v>
      </c>
      <c r="B137" s="3" t="s">
        <v>111</v>
      </c>
      <c r="C137" s="3">
        <v>2.0</v>
      </c>
      <c r="D137" s="3">
        <v>15.0</v>
      </c>
    </row>
    <row r="138" hidden="1" outlineLevel="1">
      <c r="A138" s="3"/>
      <c r="B138" s="9" t="s">
        <v>112</v>
      </c>
      <c r="C138" s="3"/>
      <c r="D138" s="3"/>
    </row>
    <row r="139" hidden="1" outlineLevel="1">
      <c r="A139" s="3"/>
      <c r="B139" s="9" t="s">
        <v>113</v>
      </c>
      <c r="C139" s="3"/>
      <c r="D139" s="3"/>
    </row>
    <row r="140" hidden="1" outlineLevel="1">
      <c r="A140" s="3"/>
      <c r="B140" s="9" t="s">
        <v>114</v>
      </c>
      <c r="C140" s="3"/>
      <c r="D140" s="3"/>
    </row>
    <row r="141" collapsed="1">
      <c r="A141" s="3" t="s">
        <v>115</v>
      </c>
      <c r="B141" s="5" t="s">
        <v>116</v>
      </c>
      <c r="C141" s="3">
        <v>2.0</v>
      </c>
      <c r="D141" s="3">
        <v>20.0</v>
      </c>
    </row>
    <row r="142" hidden="1" outlineLevel="1">
      <c r="A142" s="3"/>
      <c r="B142" s="7" t="s">
        <v>117</v>
      </c>
      <c r="C142" s="3"/>
      <c r="D142" s="3"/>
    </row>
    <row r="143" hidden="1" outlineLevel="1">
      <c r="A143" s="3"/>
      <c r="B143" s="7" t="s">
        <v>118</v>
      </c>
      <c r="C143" s="3"/>
      <c r="D143" s="3"/>
    </row>
    <row r="144" hidden="1" outlineLevel="1">
      <c r="A144" s="3"/>
      <c r="B144" s="7" t="s">
        <v>119</v>
      </c>
      <c r="C144" s="3"/>
      <c r="D144" s="3"/>
    </row>
    <row r="145" hidden="1" outlineLevel="1">
      <c r="A145" s="3"/>
      <c r="B145" s="7" t="s">
        <v>120</v>
      </c>
      <c r="C145" s="3"/>
      <c r="D145" s="3"/>
    </row>
    <row r="146" hidden="1" outlineLevel="1">
      <c r="A146" s="3"/>
      <c r="B146" s="7" t="s">
        <v>121</v>
      </c>
      <c r="C146" s="3"/>
      <c r="D146" s="3"/>
    </row>
    <row r="147" hidden="1" outlineLevel="1">
      <c r="A147" s="3"/>
      <c r="B147" s="7" t="s">
        <v>122</v>
      </c>
      <c r="C147" s="3"/>
      <c r="D147" s="3"/>
    </row>
    <row r="148" collapsed="1">
      <c r="A148" s="3" t="s">
        <v>123</v>
      </c>
      <c r="B148" s="3" t="s">
        <v>124</v>
      </c>
      <c r="C148" s="3">
        <v>2.0</v>
      </c>
      <c r="D148" s="3">
        <v>25.0</v>
      </c>
    </row>
    <row r="149" hidden="1" outlineLevel="1">
      <c r="A149" s="3"/>
      <c r="B149" s="9" t="s">
        <v>125</v>
      </c>
      <c r="C149" s="3"/>
      <c r="D149" s="3"/>
    </row>
    <row r="150" hidden="1" outlineLevel="1">
      <c r="A150" s="3"/>
      <c r="B150" s="9" t="s">
        <v>126</v>
      </c>
      <c r="C150" s="3"/>
      <c r="D150" s="3"/>
    </row>
    <row r="151" hidden="1" outlineLevel="1">
      <c r="A151" s="3"/>
      <c r="B151" s="9" t="s">
        <v>127</v>
      </c>
      <c r="C151" s="3"/>
      <c r="D151" s="3"/>
    </row>
    <row r="152" hidden="1" outlineLevel="1">
      <c r="A152" s="3"/>
      <c r="B152" s="9" t="s">
        <v>128</v>
      </c>
      <c r="C152" s="3"/>
      <c r="D152" s="3"/>
    </row>
    <row r="153" hidden="1" outlineLevel="1">
      <c r="A153" s="3"/>
      <c r="B153" s="9" t="s">
        <v>129</v>
      </c>
      <c r="C153" s="3"/>
      <c r="D153" s="3"/>
    </row>
    <row r="154" hidden="1" outlineLevel="1">
      <c r="A154" s="3"/>
      <c r="B154" s="9" t="s">
        <v>130</v>
      </c>
      <c r="C154" s="3"/>
      <c r="D154" s="3"/>
    </row>
    <row r="155" collapsed="1">
      <c r="A155" s="3" t="s">
        <v>131</v>
      </c>
      <c r="B155" s="3" t="s">
        <v>132</v>
      </c>
      <c r="C155" s="3">
        <v>2.0</v>
      </c>
      <c r="D155" s="3">
        <v>20.0</v>
      </c>
    </row>
    <row r="156" hidden="1" outlineLevel="1">
      <c r="A156" s="3"/>
      <c r="B156" s="9" t="s">
        <v>133</v>
      </c>
      <c r="C156" s="3"/>
      <c r="D156" s="3"/>
    </row>
    <row r="157">
      <c r="A157" s="3"/>
      <c r="B157" s="3"/>
      <c r="C157" s="3"/>
      <c r="D157" s="3"/>
    </row>
    <row r="158">
      <c r="A158" s="3"/>
      <c r="B158" s="4" t="s">
        <v>134</v>
      </c>
      <c r="C158" s="4">
        <f>SUM(C159:C192)</f>
        <v>9.0</v>
      </c>
      <c r="D158" s="4">
        <f>SUM(D159:D182)</f>
        <v>60.0</v>
      </c>
    </row>
    <row r="159" collapsed="1">
      <c r="A159" s="3" t="s">
        <v>135</v>
      </c>
      <c r="B159" s="3" t="s">
        <v>136</v>
      </c>
      <c r="C159" s="3">
        <v>1.0</v>
      </c>
      <c r="D159" s="3">
        <v>5.0</v>
      </c>
    </row>
    <row r="160" hidden="1" outlineLevel="1">
      <c r="A160" s="3"/>
      <c r="B160" s="9" t="s">
        <v>137</v>
      </c>
      <c r="C160" s="3"/>
      <c r="D160" s="3"/>
    </row>
    <row r="161" hidden="1" outlineLevel="1">
      <c r="A161" s="3"/>
      <c r="B161" s="9" t="s">
        <v>138</v>
      </c>
      <c r="C161" s="3"/>
      <c r="D161" s="3"/>
    </row>
    <row r="162" hidden="1" outlineLevel="1">
      <c r="A162" s="3"/>
      <c r="B162" s="9" t="s">
        <v>139</v>
      </c>
      <c r="C162" s="3"/>
      <c r="D162" s="3"/>
    </row>
    <row r="163" hidden="1" outlineLevel="1">
      <c r="A163" s="3"/>
      <c r="B163" s="9" t="s">
        <v>140</v>
      </c>
      <c r="C163" s="3"/>
      <c r="D163" s="3"/>
    </row>
    <row r="164" hidden="1" outlineLevel="1">
      <c r="A164" s="3"/>
      <c r="B164" s="9" t="s">
        <v>141</v>
      </c>
      <c r="C164" s="3"/>
      <c r="D164" s="3"/>
    </row>
    <row r="165" collapsed="1">
      <c r="A165" s="3" t="s">
        <v>142</v>
      </c>
      <c r="B165" s="3" t="s">
        <v>143</v>
      </c>
      <c r="C165" s="3">
        <v>2.0</v>
      </c>
      <c r="D165" s="3">
        <v>5.0</v>
      </c>
    </row>
    <row r="166" hidden="1" outlineLevel="1">
      <c r="A166" s="3"/>
      <c r="B166" s="9" t="s">
        <v>144</v>
      </c>
      <c r="C166" s="3"/>
      <c r="D166" s="3"/>
    </row>
    <row r="167" hidden="1" outlineLevel="1">
      <c r="A167" s="3"/>
      <c r="B167" s="9" t="s">
        <v>138</v>
      </c>
      <c r="C167" s="3"/>
      <c r="D167" s="3"/>
    </row>
    <row r="168" hidden="1" outlineLevel="1">
      <c r="A168" s="3"/>
      <c r="B168" s="9" t="s">
        <v>139</v>
      </c>
      <c r="C168" s="3"/>
      <c r="D168" s="3"/>
    </row>
    <row r="169" hidden="1" outlineLevel="1">
      <c r="A169" s="3"/>
      <c r="B169" s="9" t="s">
        <v>140</v>
      </c>
      <c r="C169" s="3"/>
      <c r="D169" s="3"/>
    </row>
    <row r="170" hidden="1" outlineLevel="1">
      <c r="A170" s="3"/>
      <c r="B170" s="9" t="s">
        <v>141</v>
      </c>
      <c r="C170" s="3"/>
      <c r="D170" s="3"/>
    </row>
    <row r="171" collapsed="1">
      <c r="A171" s="3" t="s">
        <v>145</v>
      </c>
      <c r="B171" s="3" t="s">
        <v>146</v>
      </c>
      <c r="C171" s="3">
        <v>1.0</v>
      </c>
      <c r="D171" s="3">
        <v>10.0</v>
      </c>
    </row>
    <row r="172" hidden="1" outlineLevel="1">
      <c r="A172" s="3"/>
      <c r="B172" s="9" t="s">
        <v>147</v>
      </c>
      <c r="C172" s="3"/>
      <c r="D172" s="3"/>
    </row>
    <row r="173" hidden="1" outlineLevel="1">
      <c r="A173" s="3"/>
      <c r="B173" s="9" t="s">
        <v>148</v>
      </c>
      <c r="C173" s="3"/>
      <c r="D173" s="3"/>
    </row>
    <row r="174" hidden="1" outlineLevel="1">
      <c r="A174" s="3"/>
      <c r="B174" s="9" t="s">
        <v>149</v>
      </c>
      <c r="C174" s="3"/>
      <c r="D174" s="3"/>
    </row>
    <row r="175" hidden="1" outlineLevel="1">
      <c r="A175" s="3"/>
      <c r="B175" s="9" t="s">
        <v>150</v>
      </c>
      <c r="C175" s="3"/>
      <c r="D175" s="3"/>
    </row>
    <row r="176">
      <c r="A176" s="3" t="s">
        <v>151</v>
      </c>
      <c r="B176" s="3" t="s">
        <v>152</v>
      </c>
      <c r="C176" s="3">
        <v>1.0</v>
      </c>
      <c r="D176" s="3">
        <v>10.0</v>
      </c>
    </row>
    <row r="177" collapsed="1">
      <c r="A177" s="3" t="s">
        <v>153</v>
      </c>
      <c r="B177" s="8" t="s">
        <v>154</v>
      </c>
      <c r="C177" s="3">
        <v>1.0</v>
      </c>
      <c r="D177" s="3">
        <v>10.0</v>
      </c>
    </row>
    <row r="178" hidden="1" outlineLevel="1">
      <c r="A178" s="3"/>
      <c r="B178" s="7" t="s">
        <v>155</v>
      </c>
      <c r="C178" s="3"/>
      <c r="D178" s="3"/>
    </row>
    <row r="179" hidden="1" outlineLevel="1">
      <c r="A179" s="3"/>
      <c r="B179" s="7" t="s">
        <v>156</v>
      </c>
      <c r="C179" s="3"/>
      <c r="D179" s="3"/>
    </row>
    <row r="180" hidden="1" outlineLevel="1">
      <c r="A180" s="3"/>
      <c r="B180" s="7" t="s">
        <v>157</v>
      </c>
      <c r="C180" s="3"/>
      <c r="D180" s="3"/>
    </row>
    <row r="181" hidden="1" outlineLevel="1">
      <c r="A181" s="3"/>
      <c r="B181" s="7" t="s">
        <v>158</v>
      </c>
      <c r="C181" s="3"/>
      <c r="D181" s="3"/>
    </row>
    <row r="182" collapsed="1">
      <c r="A182" s="3" t="s">
        <v>159</v>
      </c>
      <c r="B182" s="3" t="s">
        <v>160</v>
      </c>
      <c r="C182" s="3">
        <v>2.0</v>
      </c>
      <c r="D182" s="3">
        <v>20.0</v>
      </c>
    </row>
    <row r="183" hidden="1" outlineLevel="1">
      <c r="A183" s="3"/>
      <c r="B183" s="9" t="s">
        <v>161</v>
      </c>
      <c r="C183" s="3"/>
      <c r="D183" s="3"/>
    </row>
    <row r="184" hidden="1" outlineLevel="1">
      <c r="A184" s="3"/>
      <c r="B184" s="9" t="s">
        <v>162</v>
      </c>
      <c r="C184" s="3"/>
      <c r="D184" s="3"/>
    </row>
    <row r="185" hidden="1" outlineLevel="1">
      <c r="A185" s="3"/>
      <c r="B185" s="9" t="s">
        <v>163</v>
      </c>
      <c r="C185" s="3"/>
      <c r="D185" s="3"/>
    </row>
    <row r="186" hidden="1" outlineLevel="1">
      <c r="A186" s="3"/>
      <c r="B186" s="9" t="s">
        <v>164</v>
      </c>
      <c r="C186" s="3"/>
      <c r="D186" s="3"/>
    </row>
    <row r="187" hidden="1" outlineLevel="1">
      <c r="A187" s="3"/>
      <c r="B187" s="9" t="s">
        <v>165</v>
      </c>
      <c r="C187" s="3"/>
      <c r="D187" s="3"/>
    </row>
    <row r="188" hidden="1" outlineLevel="1">
      <c r="A188" s="3"/>
      <c r="B188" s="9" t="s">
        <v>166</v>
      </c>
      <c r="C188" s="3"/>
      <c r="D188" s="3"/>
    </row>
    <row r="189" hidden="1" outlineLevel="1">
      <c r="A189" s="3"/>
      <c r="B189" s="9" t="s">
        <v>167</v>
      </c>
      <c r="C189" s="3"/>
      <c r="D189" s="3"/>
    </row>
    <row r="190" hidden="1" outlineLevel="1">
      <c r="A190" s="3"/>
      <c r="B190" s="9" t="s">
        <v>168</v>
      </c>
      <c r="C190" s="3"/>
      <c r="D190" s="3"/>
    </row>
    <row r="191" hidden="1" outlineLevel="1">
      <c r="A191" s="3"/>
      <c r="B191" s="9" t="s">
        <v>169</v>
      </c>
      <c r="C191" s="3"/>
      <c r="D191" s="3"/>
    </row>
    <row r="192" collapsed="1">
      <c r="A192" s="3" t="s">
        <v>349</v>
      </c>
      <c r="B192" s="13" t="s">
        <v>350</v>
      </c>
      <c r="C192" s="3">
        <v>1.0</v>
      </c>
      <c r="D192" s="3">
        <v>20.0</v>
      </c>
    </row>
    <row r="193" hidden="1" outlineLevel="1">
      <c r="A193" s="3"/>
      <c r="B193" s="9" t="s">
        <v>351</v>
      </c>
      <c r="C193" s="3"/>
      <c r="D193" s="3"/>
    </row>
    <row r="194" hidden="1" outlineLevel="1">
      <c r="A194" s="3"/>
      <c r="B194" s="9" t="s">
        <v>352</v>
      </c>
      <c r="C194" s="3"/>
      <c r="D194" s="3"/>
    </row>
    <row r="195">
      <c r="A195" s="4" t="s">
        <v>170</v>
      </c>
      <c r="B195" s="4"/>
      <c r="C195" s="4">
        <f>C2+C13+C22+C95+C120+C158</f>
        <v>80.0</v>
      </c>
      <c r="D195" s="4">
        <f>D2+D13++D95+D120+D158+D22</f>
        <v>660.0</v>
      </c>
    </row>
  </sheetData>
  <printOptions/>
  <pageMargins left="0.6740767578124998" right="0.6740767578124998" top="0.7222250976562498" bottom="0.7222250976562498" footer="0.2888900390625" header="0.2888900390625"/>
  <pageSetup paperSize="9" orientation="portrait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outlinePr/>
    <pageSetUpPr/>
  </sheetPr>
  <dimension ref="A1:D200"/>
  <sheetViews>
    <sheetView workbookViewId="0" zoomScaleNormal="100" zoomScaleSheetLayoutView="60">
      <selection activeCell="C1" sqref="C1"/>
    </sheetView>
  </sheetViews>
  <sheetFormatPr defaultRowHeight="15.0" outlineLevelRow="1"/>
  <cols>
    <col min="1" max="1" width="6.251953125" bestFit="1" customWidth="1"/>
    <col min="2" max="2" width="55.001953125" customWidth="1"/>
    <col min="4" max="4" width="8.876953125" bestFit="1" customWidth="1"/>
  </cols>
  <sheetData>
    <row r="1" ht="45.0">
      <c r="A1" s="1" t="s">
        <v>0</v>
      </c>
      <c r="B1" s="1" t="s">
        <v>1</v>
      </c>
      <c r="C1" s="1" t="s">
        <v>2</v>
      </c>
      <c r="D1" s="2" t="s">
        <v>3</v>
      </c>
    </row>
    <row r="2">
      <c r="A2" s="3"/>
      <c r="B2" s="4" t="s">
        <v>4</v>
      </c>
      <c r="C2" s="4">
        <f>SUM(C3:C8)</f>
        <v>6.0</v>
      </c>
      <c r="D2" s="4">
        <f>SUM(D3:D8)</f>
        <v>30.0</v>
      </c>
    </row>
    <row r="3">
      <c r="A3" s="3" t="s">
        <v>5</v>
      </c>
      <c r="B3" s="3" t="s">
        <v>6</v>
      </c>
      <c r="C3" s="3">
        <v>1.0</v>
      </c>
      <c r="D3" s="3">
        <v>5.0</v>
      </c>
    </row>
    <row r="4" collapsed="1">
      <c r="A4" s="3" t="s">
        <v>7</v>
      </c>
      <c r="B4" s="5" t="s">
        <v>8</v>
      </c>
      <c r="C4" s="3">
        <v>3.0</v>
      </c>
      <c r="D4" s="6">
        <v>15.0</v>
      </c>
    </row>
    <row r="5" hidden="1" outlineLevel="1">
      <c r="A5" s="3"/>
      <c r="B5" s="7" t="s">
        <v>9</v>
      </c>
      <c r="C5" s="3"/>
      <c r="D5" s="6"/>
    </row>
    <row r="6" hidden="1" outlineLevel="1">
      <c r="A6" s="3"/>
      <c r="B6" s="7" t="s">
        <v>10</v>
      </c>
      <c r="C6" s="3"/>
      <c r="D6" s="6"/>
    </row>
    <row r="7" hidden="1" outlineLevel="1">
      <c r="A7" s="3"/>
      <c r="B7" s="7" t="s">
        <v>11</v>
      </c>
      <c r="C7" s="3"/>
      <c r="D7" s="6"/>
    </row>
    <row r="8" collapsed="1">
      <c r="A8" s="3" t="s">
        <v>12</v>
      </c>
      <c r="B8" s="8" t="s">
        <v>13</v>
      </c>
      <c r="C8" s="3">
        <v>2.0</v>
      </c>
      <c r="D8" s="3">
        <v>10.0</v>
      </c>
    </row>
    <row r="9" hidden="1" outlineLevel="1">
      <c r="A9" s="3"/>
      <c r="B9" s="7" t="s">
        <v>14</v>
      </c>
      <c r="C9" s="3"/>
      <c r="D9" s="3"/>
    </row>
    <row r="10" hidden="1" outlineLevel="1">
      <c r="A10" s="3"/>
      <c r="B10" s="9" t="s">
        <v>15</v>
      </c>
      <c r="C10" s="3"/>
      <c r="D10" s="3"/>
    </row>
    <row r="11" hidden="1" outlineLevel="1">
      <c r="A11" s="3"/>
      <c r="B11" s="9" t="s">
        <v>16</v>
      </c>
      <c r="C11" s="3"/>
      <c r="D11" s="3"/>
    </row>
    <row r="12">
      <c r="A12" s="3"/>
      <c r="B12" s="3"/>
      <c r="C12" s="3"/>
      <c r="D12" s="3"/>
    </row>
    <row r="13">
      <c r="A13" s="3"/>
      <c r="B13" s="4" t="s">
        <v>17</v>
      </c>
      <c r="C13" s="4">
        <f>SUM(C14,C20)</f>
        <v>3.0</v>
      </c>
      <c r="D13" s="4">
        <f>SUM(D14:D20)</f>
        <v>30.0</v>
      </c>
    </row>
    <row r="14" collapsed="1">
      <c r="A14" s="3" t="s">
        <v>18</v>
      </c>
      <c r="B14" s="5" t="s">
        <v>19</v>
      </c>
      <c r="C14" s="3">
        <v>1.0</v>
      </c>
      <c r="D14" s="3">
        <v>10.0</v>
      </c>
    </row>
    <row r="15" hidden="1" outlineLevel="1">
      <c r="A15" s="3"/>
      <c r="B15" s="7" t="s">
        <v>20</v>
      </c>
      <c r="C15" s="3"/>
      <c r="D15" s="3"/>
    </row>
    <row r="16" hidden="1" outlineLevel="1">
      <c r="A16" s="3"/>
      <c r="B16" s="7" t="s">
        <v>21</v>
      </c>
      <c r="C16" s="3"/>
      <c r="D16" s="3"/>
    </row>
    <row r="17" hidden="1" outlineLevel="1">
      <c r="A17" s="3"/>
      <c r="B17" s="7" t="s">
        <v>22</v>
      </c>
      <c r="C17" s="3"/>
      <c r="D17" s="3"/>
    </row>
    <row r="18" hidden="1" outlineLevel="1">
      <c r="A18" s="3"/>
      <c r="B18" s="7" t="s">
        <v>23</v>
      </c>
      <c r="C18" s="3"/>
      <c r="D18" s="3"/>
    </row>
    <row r="19" hidden="1" outlineLevel="1">
      <c r="A19" s="3"/>
      <c r="B19" s="7" t="s">
        <v>24</v>
      </c>
      <c r="C19" s="3"/>
      <c r="D19" s="3"/>
    </row>
    <row r="20">
      <c r="A20" s="3" t="s">
        <v>25</v>
      </c>
      <c r="B20" s="8" t="s">
        <v>26</v>
      </c>
      <c r="C20" s="3">
        <v>2.0</v>
      </c>
      <c r="D20" s="3">
        <v>20.0</v>
      </c>
    </row>
    <row r="21">
      <c r="A21" s="3"/>
      <c r="B21" s="8"/>
      <c r="C21" s="3"/>
      <c r="D21" s="3"/>
    </row>
    <row r="22">
      <c r="A22" s="3"/>
      <c r="B22" s="4" t="s">
        <v>666</v>
      </c>
      <c r="C22" s="4">
        <f>SUM(C23:C98)</f>
        <v>40.0</v>
      </c>
      <c r="D22" s="4">
        <f>SUM(D23:D98)</f>
        <v>330.0</v>
      </c>
    </row>
    <row r="23" collapsed="1">
      <c r="A23" s="3" t="s">
        <v>667</v>
      </c>
      <c r="B23" s="3" t="s">
        <v>668</v>
      </c>
      <c r="C23" s="3">
        <v>1.0</v>
      </c>
      <c r="D23" s="3">
        <v>10.0</v>
      </c>
    </row>
    <row r="24" hidden="1" outlineLevel="1">
      <c r="A24" s="3"/>
      <c r="B24" s="9" t="s">
        <v>669</v>
      </c>
      <c r="C24" s="3"/>
      <c r="D24" s="3"/>
    </row>
    <row r="25" hidden="1" outlineLevel="1">
      <c r="A25" s="3"/>
      <c r="B25" s="45" t="s">
        <v>670</v>
      </c>
      <c r="C25" s="3"/>
      <c r="D25" s="3"/>
    </row>
    <row r="26" hidden="1" outlineLevel="1">
      <c r="A26" s="3"/>
      <c r="B26" s="45" t="s">
        <v>671</v>
      </c>
      <c r="C26" s="3"/>
      <c r="D26" s="3"/>
    </row>
    <row r="27" hidden="1" outlineLevel="1">
      <c r="A27" s="3"/>
      <c r="B27" s="45" t="s">
        <v>672</v>
      </c>
      <c r="C27" s="3"/>
      <c r="D27" s="3"/>
    </row>
    <row r="28" hidden="1" outlineLevel="1">
      <c r="A28" s="3"/>
      <c r="B28" s="45" t="s">
        <v>673</v>
      </c>
      <c r="C28" s="3"/>
      <c r="D28" s="3"/>
    </row>
    <row r="29" collapsed="1">
      <c r="A29" s="3" t="s">
        <v>674</v>
      </c>
      <c r="B29" s="3" t="s">
        <v>675</v>
      </c>
      <c r="C29" s="3">
        <v>2.0</v>
      </c>
      <c r="D29" s="3">
        <v>15.0</v>
      </c>
    </row>
    <row r="30" hidden="1" outlineLevel="1">
      <c r="A30" s="3"/>
      <c r="B30" s="9" t="s">
        <v>676</v>
      </c>
      <c r="C30" s="3"/>
      <c r="D30" s="3"/>
    </row>
    <row r="31" hidden="1" outlineLevel="1">
      <c r="A31" s="3"/>
      <c r="B31" s="9" t="s">
        <v>677</v>
      </c>
      <c r="C31" s="3"/>
      <c r="D31" s="3"/>
    </row>
    <row r="32" collapsed="1">
      <c r="A32" s="3" t="s">
        <v>678</v>
      </c>
      <c r="B32" s="3" t="s">
        <v>679</v>
      </c>
      <c r="C32" s="3">
        <v>2.0</v>
      </c>
      <c r="D32" s="3">
        <v>15.0</v>
      </c>
    </row>
    <row r="33" hidden="1" outlineLevel="1">
      <c r="A33" s="3"/>
      <c r="B33" s="9" t="s">
        <v>680</v>
      </c>
      <c r="C33" s="3"/>
      <c r="D33" s="3"/>
    </row>
    <row r="34" hidden="1" outlineLevel="1">
      <c r="A34" s="3"/>
      <c r="B34" s="9" t="s">
        <v>676</v>
      </c>
      <c r="C34" s="3"/>
      <c r="D34" s="3"/>
    </row>
    <row r="35" hidden="1" outlineLevel="1">
      <c r="A35" s="3"/>
      <c r="B35" s="9" t="s">
        <v>681</v>
      </c>
      <c r="C35" s="3"/>
      <c r="D35" s="3"/>
    </row>
    <row r="36" collapsed="1">
      <c r="A36" s="3" t="s">
        <v>682</v>
      </c>
      <c r="B36" s="3" t="s">
        <v>683</v>
      </c>
      <c r="C36" s="3">
        <v>1.0</v>
      </c>
      <c r="D36" s="3">
        <v>10.0</v>
      </c>
    </row>
    <row r="37" hidden="1" outlineLevel="1">
      <c r="A37" s="3"/>
      <c r="B37" s="9" t="s">
        <v>684</v>
      </c>
      <c r="C37" s="3"/>
      <c r="D37" s="3"/>
    </row>
    <row r="38" hidden="1" outlineLevel="1">
      <c r="A38" s="3"/>
      <c r="B38" s="9" t="s">
        <v>685</v>
      </c>
      <c r="C38" s="3"/>
      <c r="D38" s="3"/>
    </row>
    <row r="39" hidden="1" outlineLevel="1">
      <c r="A39" s="3"/>
      <c r="B39" s="9" t="s">
        <v>686</v>
      </c>
      <c r="C39" s="3"/>
      <c r="D39" s="3"/>
    </row>
    <row r="40" collapsed="1">
      <c r="A40" s="3" t="s">
        <v>687</v>
      </c>
      <c r="B40" s="3" t="s">
        <v>688</v>
      </c>
      <c r="C40" s="3">
        <v>1.0</v>
      </c>
      <c r="D40" s="3">
        <v>10.0</v>
      </c>
    </row>
    <row r="41" hidden="1" outlineLevel="1">
      <c r="A41" s="3"/>
      <c r="B41" s="9" t="s">
        <v>689</v>
      </c>
      <c r="C41" s="3"/>
      <c r="D41" s="3"/>
    </row>
    <row r="42" hidden="1" outlineLevel="1">
      <c r="A42" s="3"/>
      <c r="B42" s="9" t="s">
        <v>690</v>
      </c>
      <c r="C42" s="3"/>
      <c r="D42" s="3"/>
    </row>
    <row r="43" collapsed="1">
      <c r="A43" s="3" t="s">
        <v>691</v>
      </c>
      <c r="B43" s="3" t="s">
        <v>692</v>
      </c>
      <c r="C43" s="3">
        <v>2.0</v>
      </c>
      <c r="D43" s="3">
        <v>15.0</v>
      </c>
    </row>
    <row r="44" hidden="1" outlineLevel="1">
      <c r="A44" s="3"/>
      <c r="B44" s="9" t="s">
        <v>693</v>
      </c>
      <c r="C44" s="3"/>
      <c r="D44" s="3"/>
    </row>
    <row r="45" hidden="1" outlineLevel="1">
      <c r="A45" s="3"/>
      <c r="B45" s="9" t="s">
        <v>694</v>
      </c>
      <c r="C45" s="3"/>
      <c r="D45" s="3"/>
    </row>
    <row r="46" hidden="1" outlineLevel="1">
      <c r="A46" s="3"/>
      <c r="B46" s="9" t="s">
        <v>695</v>
      </c>
      <c r="C46" s="3"/>
      <c r="D46" s="3"/>
    </row>
    <row r="47" hidden="1" outlineLevel="1">
      <c r="A47" s="3"/>
      <c r="B47" s="9" t="s">
        <v>696</v>
      </c>
      <c r="C47" s="3"/>
      <c r="D47" s="3"/>
    </row>
    <row r="48" collapsed="1">
      <c r="A48" s="3" t="s">
        <v>697</v>
      </c>
      <c r="B48" s="3" t="s">
        <v>698</v>
      </c>
      <c r="C48" s="3">
        <v>1.0</v>
      </c>
      <c r="D48" s="3">
        <v>10.0</v>
      </c>
    </row>
    <row r="49" hidden="1" outlineLevel="1">
      <c r="A49" s="3"/>
      <c r="B49" s="9" t="s">
        <v>699</v>
      </c>
      <c r="C49" s="3"/>
      <c r="D49" s="3"/>
    </row>
    <row r="50" hidden="1" outlineLevel="1">
      <c r="A50" s="3"/>
      <c r="B50" s="9" t="s">
        <v>700</v>
      </c>
      <c r="C50" s="3"/>
      <c r="D50" s="3"/>
    </row>
    <row r="51" hidden="1" outlineLevel="1">
      <c r="A51" s="3"/>
      <c r="B51" s="9" t="s">
        <v>701</v>
      </c>
      <c r="C51" s="3"/>
      <c r="D51" s="3"/>
    </row>
    <row r="52" collapsed="1">
      <c r="A52" s="3" t="s">
        <v>702</v>
      </c>
      <c r="B52" s="3" t="s">
        <v>703</v>
      </c>
      <c r="C52" s="3">
        <v>2.0</v>
      </c>
      <c r="D52" s="3">
        <v>20.0</v>
      </c>
    </row>
    <row r="53" hidden="1" outlineLevel="1">
      <c r="A53" s="3"/>
      <c r="B53" s="9" t="s">
        <v>704</v>
      </c>
      <c r="C53" s="3"/>
      <c r="D53" s="3"/>
    </row>
    <row r="54" hidden="1" outlineLevel="1">
      <c r="A54" s="3"/>
      <c r="B54" s="9" t="s">
        <v>705</v>
      </c>
      <c r="C54" s="3"/>
      <c r="D54" s="3"/>
    </row>
    <row r="55" hidden="1" outlineLevel="1">
      <c r="A55" s="3"/>
      <c r="B55" s="9" t="s">
        <v>706</v>
      </c>
      <c r="C55" s="3"/>
      <c r="D55" s="3"/>
    </row>
    <row r="56" collapsed="1">
      <c r="A56" s="3" t="s">
        <v>707</v>
      </c>
      <c r="B56" s="3" t="s">
        <v>708</v>
      </c>
      <c r="C56" s="3">
        <v>3.0</v>
      </c>
      <c r="D56" s="3">
        <v>30.0</v>
      </c>
    </row>
    <row r="57" hidden="1" outlineLevel="1">
      <c r="A57" s="3"/>
      <c r="B57" s="9" t="s">
        <v>709</v>
      </c>
      <c r="C57" s="3"/>
      <c r="D57" s="3"/>
    </row>
    <row r="58" hidden="1" outlineLevel="1">
      <c r="A58" s="3"/>
      <c r="B58" s="9" t="s">
        <v>710</v>
      </c>
      <c r="C58" s="3"/>
      <c r="D58" s="3"/>
    </row>
    <row r="59" hidden="1" outlineLevel="1">
      <c r="A59" s="3"/>
      <c r="B59" s="9" t="s">
        <v>711</v>
      </c>
      <c r="C59" s="3"/>
      <c r="D59" s="3"/>
    </row>
    <row r="60" collapsed="1">
      <c r="A60" s="3" t="s">
        <v>712</v>
      </c>
      <c r="B60" s="3" t="s">
        <v>394</v>
      </c>
      <c r="C60" s="3">
        <v>1.0</v>
      </c>
      <c r="D60" s="3">
        <v>10.0</v>
      </c>
    </row>
    <row r="61" hidden="1" outlineLevel="1">
      <c r="A61" s="3"/>
      <c r="B61" s="9" t="s">
        <v>713</v>
      </c>
      <c r="C61" s="3"/>
      <c r="D61" s="3"/>
    </row>
    <row r="62" hidden="1" outlineLevel="1">
      <c r="A62" s="3"/>
      <c r="B62" s="9" t="s">
        <v>714</v>
      </c>
      <c r="C62" s="3"/>
      <c r="D62" s="3"/>
    </row>
    <row r="63" collapsed="1">
      <c r="A63" s="3" t="s">
        <v>715</v>
      </c>
      <c r="B63" s="3" t="s">
        <v>716</v>
      </c>
      <c r="C63" s="3">
        <v>2.0</v>
      </c>
      <c r="D63" s="3">
        <v>15.0</v>
      </c>
    </row>
    <row r="64" hidden="1" outlineLevel="1">
      <c r="A64" s="3"/>
      <c r="B64" s="9" t="s">
        <v>717</v>
      </c>
      <c r="C64" s="3"/>
      <c r="D64" s="3"/>
    </row>
    <row r="65" hidden="1" outlineLevel="1">
      <c r="A65" s="3"/>
      <c r="B65" s="9" t="s">
        <v>718</v>
      </c>
      <c r="C65" s="3"/>
      <c r="D65" s="3"/>
    </row>
    <row r="66" hidden="1" outlineLevel="1">
      <c r="A66" s="3"/>
      <c r="B66" s="9" t="s">
        <v>719</v>
      </c>
      <c r="C66" s="3"/>
      <c r="D66" s="3"/>
    </row>
    <row r="67" collapsed="1">
      <c r="A67" s="3" t="s">
        <v>720</v>
      </c>
      <c r="B67" s="3" t="s">
        <v>721</v>
      </c>
      <c r="C67" s="3">
        <v>1.0</v>
      </c>
      <c r="D67" s="3">
        <v>10.0</v>
      </c>
    </row>
    <row r="68" hidden="1" outlineLevel="1">
      <c r="A68" s="3"/>
      <c r="B68" s="9" t="s">
        <v>722</v>
      </c>
      <c r="C68" s="3"/>
      <c r="D68" s="3"/>
    </row>
    <row r="69" hidden="1" outlineLevel="1">
      <c r="A69" s="3"/>
      <c r="B69" s="9" t="s">
        <v>723</v>
      </c>
      <c r="C69" s="3"/>
      <c r="D69" s="3"/>
    </row>
    <row r="70" collapsed="1">
      <c r="A70" s="3" t="s">
        <v>724</v>
      </c>
      <c r="B70" s="3" t="s">
        <v>725</v>
      </c>
      <c r="C70" s="3">
        <v>1.0</v>
      </c>
      <c r="D70" s="3">
        <v>10.0</v>
      </c>
    </row>
    <row r="71" hidden="1" outlineLevel="1">
      <c r="A71" s="3"/>
      <c r="B71" s="9" t="s">
        <v>726</v>
      </c>
      <c r="C71" s="3"/>
      <c r="D71" s="3"/>
    </row>
    <row r="72" hidden="1" outlineLevel="1">
      <c r="A72" s="3"/>
      <c r="B72" s="9" t="s">
        <v>727</v>
      </c>
      <c r="C72" s="3"/>
      <c r="D72" s="3"/>
    </row>
    <row r="73">
      <c r="A73" s="3" t="s">
        <v>728</v>
      </c>
      <c r="B73" s="3" t="s">
        <v>729</v>
      </c>
      <c r="C73" s="3">
        <v>2.0</v>
      </c>
      <c r="D73" s="3">
        <v>15.0</v>
      </c>
    </row>
    <row r="74" collapsed="1">
      <c r="A74" s="3" t="s">
        <v>730</v>
      </c>
      <c r="B74" s="3" t="s">
        <v>731</v>
      </c>
      <c r="C74" s="3">
        <v>3.0</v>
      </c>
      <c r="D74" s="3">
        <v>30.0</v>
      </c>
    </row>
    <row r="75" hidden="1" outlineLevel="1">
      <c r="A75" s="3"/>
      <c r="B75" s="9" t="s">
        <v>732</v>
      </c>
      <c r="C75" s="3"/>
      <c r="D75" s="3"/>
    </row>
    <row r="76" hidden="1" outlineLevel="1">
      <c r="A76" s="3"/>
      <c r="B76" s="9" t="s">
        <v>733</v>
      </c>
      <c r="C76" s="3"/>
      <c r="D76" s="3"/>
    </row>
    <row r="77" hidden="1" outlineLevel="1">
      <c r="A77" s="3"/>
      <c r="B77" s="9" t="s">
        <v>734</v>
      </c>
      <c r="C77" s="3"/>
      <c r="D77" s="3"/>
    </row>
    <row r="78" hidden="1" outlineLevel="1">
      <c r="A78" s="3"/>
      <c r="B78" s="9" t="s">
        <v>735</v>
      </c>
      <c r="C78" s="3"/>
      <c r="D78" s="3"/>
    </row>
    <row r="79" hidden="1" outlineLevel="1">
      <c r="A79" s="3"/>
      <c r="B79" s="9" t="s">
        <v>736</v>
      </c>
      <c r="C79" s="3"/>
      <c r="D79" s="3"/>
    </row>
    <row r="80" hidden="1" outlineLevel="1">
      <c r="A80" s="3"/>
      <c r="B80" s="9" t="s">
        <v>737</v>
      </c>
      <c r="C80" s="3"/>
      <c r="D80" s="3"/>
    </row>
    <row r="81" collapsed="1">
      <c r="A81" s="3" t="s">
        <v>738</v>
      </c>
      <c r="B81" s="3" t="s">
        <v>739</v>
      </c>
      <c r="C81" s="3">
        <v>3.0</v>
      </c>
      <c r="D81" s="3">
        <v>15.0</v>
      </c>
    </row>
    <row r="82" hidden="1" outlineLevel="1">
      <c r="A82" s="3"/>
      <c r="B82" s="9" t="s">
        <v>740</v>
      </c>
      <c r="C82" s="3"/>
      <c r="D82" s="3"/>
    </row>
    <row r="83" hidden="1" outlineLevel="1">
      <c r="A83" s="3"/>
      <c r="B83" s="9" t="s">
        <v>741</v>
      </c>
      <c r="C83" s="3"/>
      <c r="D83" s="3"/>
    </row>
    <row r="84">
      <c r="A84" s="3" t="s">
        <v>742</v>
      </c>
      <c r="B84" s="3" t="s">
        <v>743</v>
      </c>
      <c r="C84" s="3">
        <v>2.0</v>
      </c>
      <c r="D84" s="3">
        <v>10.0</v>
      </c>
    </row>
    <row r="85">
      <c r="A85" s="3" t="s">
        <v>744</v>
      </c>
      <c r="B85" s="3" t="s">
        <v>745</v>
      </c>
      <c r="C85" s="3">
        <v>1.0</v>
      </c>
      <c r="D85" s="3">
        <v>10.0</v>
      </c>
    </row>
    <row r="86" collapsed="1">
      <c r="A86" s="3" t="s">
        <v>746</v>
      </c>
      <c r="B86" s="3" t="s">
        <v>747</v>
      </c>
      <c r="C86" s="3">
        <v>3.0</v>
      </c>
      <c r="D86" s="3">
        <v>20.0</v>
      </c>
    </row>
    <row r="87" hidden="1" outlineLevel="1">
      <c r="A87" s="3"/>
      <c r="B87" s="9" t="s">
        <v>748</v>
      </c>
      <c r="C87" s="3"/>
      <c r="D87" s="3"/>
    </row>
    <row r="88" hidden="1" outlineLevel="1">
      <c r="A88" s="3"/>
      <c r="B88" s="9" t="s">
        <v>749</v>
      </c>
      <c r="C88" s="3"/>
      <c r="D88" s="3"/>
    </row>
    <row r="89" collapsed="1">
      <c r="A89" s="3" t="s">
        <v>750</v>
      </c>
      <c r="B89" s="3" t="s">
        <v>751</v>
      </c>
      <c r="C89" s="3">
        <v>2.0</v>
      </c>
      <c r="D89" s="3">
        <v>20.0</v>
      </c>
    </row>
    <row r="90" hidden="1" outlineLevel="1">
      <c r="A90" s="3"/>
      <c r="B90" s="9" t="s">
        <v>752</v>
      </c>
      <c r="C90" s="3"/>
      <c r="D90" s="3"/>
    </row>
    <row r="91" hidden="1" outlineLevel="1">
      <c r="A91" s="3"/>
      <c r="B91" s="9" t="s">
        <v>753</v>
      </c>
      <c r="C91" s="3"/>
      <c r="D91" s="3"/>
    </row>
    <row r="92">
      <c r="A92" s="3" t="s">
        <v>754</v>
      </c>
      <c r="B92" s="3" t="s">
        <v>755</v>
      </c>
      <c r="C92" s="3">
        <v>2.0</v>
      </c>
      <c r="D92" s="3">
        <v>10.0</v>
      </c>
    </row>
    <row r="93" collapsed="1">
      <c r="A93" s="3" t="s">
        <v>756</v>
      </c>
      <c r="B93" s="13" t="s">
        <v>63</v>
      </c>
      <c r="C93" s="3">
        <v>1.0</v>
      </c>
      <c r="D93" s="3">
        <v>10.0</v>
      </c>
    </row>
    <row r="94" hidden="1" outlineLevel="1">
      <c r="A94" s="3"/>
      <c r="B94" s="9" t="s">
        <v>757</v>
      </c>
      <c r="C94" s="3"/>
      <c r="D94" s="3"/>
    </row>
    <row r="95" hidden="1" outlineLevel="1">
      <c r="A95" s="3"/>
      <c r="B95" s="9" t="s">
        <v>758</v>
      </c>
      <c r="C95" s="3"/>
      <c r="D95" s="3"/>
    </row>
    <row r="96" hidden="1" outlineLevel="1">
      <c r="A96" s="3"/>
      <c r="B96" s="9" t="s">
        <v>759</v>
      </c>
      <c r="C96" s="3"/>
      <c r="D96" s="3"/>
    </row>
    <row r="97" hidden="1" outlineLevel="1">
      <c r="A97" s="3"/>
      <c r="B97" s="9" t="s">
        <v>760</v>
      </c>
      <c r="C97" s="3"/>
      <c r="D97" s="3"/>
    </row>
    <row r="98" collapsed="1">
      <c r="A98" s="3" t="s">
        <v>761</v>
      </c>
      <c r="B98" s="13" t="s">
        <v>601</v>
      </c>
      <c r="C98" s="3">
        <v>1.0</v>
      </c>
      <c r="D98" s="3">
        <v>10.0</v>
      </c>
    </row>
    <row r="99">
      <c r="A99" s="3"/>
      <c r="B99" s="3"/>
      <c r="C99" s="3"/>
      <c r="D99" s="3"/>
    </row>
    <row r="100">
      <c r="A100" s="3"/>
      <c r="B100" s="4" t="s">
        <v>61</v>
      </c>
      <c r="C100" s="4">
        <f>SUM(C101:C118)</f>
        <v>9.0</v>
      </c>
      <c r="D100" s="4">
        <f>SUM(D101:D118)</f>
        <v>90.0</v>
      </c>
    </row>
    <row r="101" collapsed="1">
      <c r="A101" s="3" t="s">
        <v>62</v>
      </c>
      <c r="B101" s="8" t="s">
        <v>19</v>
      </c>
      <c r="C101" s="3">
        <v>2.0</v>
      </c>
      <c r="D101" s="3">
        <v>20.0</v>
      </c>
    </row>
    <row r="102" hidden="1" outlineLevel="1">
      <c r="A102" s="3"/>
      <c r="B102" s="7" t="s">
        <v>63</v>
      </c>
      <c r="C102" s="3"/>
      <c r="D102" s="3"/>
    </row>
    <row r="103" hidden="1" outlineLevel="1">
      <c r="A103" s="3"/>
      <c r="B103" s="7" t="s">
        <v>64</v>
      </c>
      <c r="C103" s="3"/>
      <c r="D103" s="3"/>
    </row>
    <row r="104" hidden="1" outlineLevel="1">
      <c r="A104" s="3"/>
      <c r="B104" s="7" t="s">
        <v>65</v>
      </c>
      <c r="C104" s="3"/>
      <c r="D104" s="3"/>
    </row>
    <row r="105" hidden="1" outlineLevel="1">
      <c r="A105" s="3"/>
      <c r="B105" s="7" t="s">
        <v>66</v>
      </c>
      <c r="C105" s="3"/>
      <c r="D105" s="3"/>
    </row>
    <row r="106" hidden="1" outlineLevel="1">
      <c r="A106" s="3"/>
      <c r="B106" s="7" t="s">
        <v>67</v>
      </c>
      <c r="C106" s="3"/>
      <c r="D106" s="3"/>
    </row>
    <row r="107" collapsed="1">
      <c r="A107" s="3" t="s">
        <v>68</v>
      </c>
      <c r="B107" s="3" t="s">
        <v>69</v>
      </c>
      <c r="C107" s="3">
        <v>2.0</v>
      </c>
      <c r="D107" s="3">
        <v>20.0</v>
      </c>
    </row>
    <row r="108" hidden="1" outlineLevel="1">
      <c r="A108" s="3"/>
      <c r="B108" s="9" t="s">
        <v>70</v>
      </c>
      <c r="C108" s="3"/>
      <c r="D108" s="3"/>
    </row>
    <row r="109" hidden="1" outlineLevel="1">
      <c r="A109" s="3"/>
      <c r="B109" s="9" t="s">
        <v>71</v>
      </c>
      <c r="C109" s="3"/>
      <c r="D109" s="3"/>
    </row>
    <row r="110" hidden="1" outlineLevel="1">
      <c r="A110" s="3"/>
      <c r="B110" s="9" t="s">
        <v>72</v>
      </c>
      <c r="C110" s="3"/>
      <c r="D110" s="3"/>
    </row>
    <row r="111" collapsed="1">
      <c r="A111" s="3" t="s">
        <v>73</v>
      </c>
      <c r="B111" s="3" t="s">
        <v>74</v>
      </c>
      <c r="C111" s="3">
        <v>2.0</v>
      </c>
      <c r="D111" s="3">
        <v>20.0</v>
      </c>
    </row>
    <row r="112" hidden="1" outlineLevel="1">
      <c r="A112" s="3"/>
      <c r="B112" s="9" t="s">
        <v>75</v>
      </c>
      <c r="C112" s="3"/>
      <c r="D112" s="3"/>
    </row>
    <row r="113" hidden="1" outlineLevel="1">
      <c r="A113" s="3"/>
      <c r="B113" s="9" t="s">
        <v>76</v>
      </c>
      <c r="C113" s="3"/>
      <c r="D113" s="3"/>
    </row>
    <row r="114" hidden="1" outlineLevel="1">
      <c r="A114" s="3"/>
      <c r="B114" s="9" t="s">
        <v>77</v>
      </c>
      <c r="C114" s="3"/>
      <c r="D114" s="3"/>
    </row>
    <row r="115" collapsed="1">
      <c r="A115" s="3" t="s">
        <v>78</v>
      </c>
      <c r="B115" s="5" t="s">
        <v>79</v>
      </c>
      <c r="C115" s="3">
        <v>1.0</v>
      </c>
      <c r="D115" s="3">
        <v>15.0</v>
      </c>
    </row>
    <row r="116" hidden="1" outlineLevel="1">
      <c r="A116" s="3"/>
      <c r="B116" s="7" t="s">
        <v>80</v>
      </c>
      <c r="C116" s="3"/>
      <c r="D116" s="3"/>
    </row>
    <row r="117" hidden="1" outlineLevel="1">
      <c r="A117" s="3"/>
      <c r="B117" s="7" t="s">
        <v>81</v>
      </c>
      <c r="C117" s="3"/>
      <c r="D117" s="3"/>
    </row>
    <row r="118" collapsed="1">
      <c r="A118" s="3" t="s">
        <v>82</v>
      </c>
      <c r="B118" s="10" t="s">
        <v>83</v>
      </c>
      <c r="C118" s="3">
        <v>2.0</v>
      </c>
      <c r="D118" s="3">
        <v>15.0</v>
      </c>
    </row>
    <row r="119" hidden="1" outlineLevel="1">
      <c r="A119" s="3"/>
      <c r="B119" s="7" t="s">
        <v>84</v>
      </c>
      <c r="C119" s="3"/>
      <c r="D119" s="3"/>
    </row>
    <row r="120" hidden="1" outlineLevel="1">
      <c r="A120" s="3"/>
      <c r="B120" s="7" t="s">
        <v>85</v>
      </c>
      <c r="C120" s="3"/>
      <c r="D120" s="3"/>
    </row>
    <row r="121" hidden="1" outlineLevel="1">
      <c r="A121" s="3"/>
      <c r="B121" s="7" t="s">
        <v>86</v>
      </c>
      <c r="C121" s="3"/>
      <c r="D121" s="3"/>
    </row>
    <row r="122" hidden="1" outlineLevel="1">
      <c r="A122" s="3"/>
      <c r="B122" s="7" t="s">
        <v>87</v>
      </c>
      <c r="C122" s="3"/>
      <c r="D122" s="3"/>
    </row>
    <row r="123" hidden="1" outlineLevel="1">
      <c r="A123" s="3"/>
      <c r="B123" s="7" t="s">
        <v>88</v>
      </c>
      <c r="C123" s="3"/>
      <c r="D123" s="3"/>
    </row>
    <row r="124">
      <c r="A124" s="3"/>
      <c r="B124" s="3"/>
      <c r="C124" s="3"/>
      <c r="D124" s="3"/>
    </row>
    <row r="125">
      <c r="A125" s="3"/>
      <c r="B125" s="4" t="s">
        <v>89</v>
      </c>
      <c r="C125" s="4">
        <f>SUM(C126:C160)</f>
        <v>13.0</v>
      </c>
      <c r="D125" s="4">
        <f>SUM(D126:D160)</f>
        <v>120.0</v>
      </c>
    </row>
    <row r="126">
      <c r="A126" s="3" t="s">
        <v>90</v>
      </c>
      <c r="B126" s="5" t="s">
        <v>91</v>
      </c>
      <c r="C126" s="3">
        <v>1.0</v>
      </c>
      <c r="D126" s="3">
        <v>10.0</v>
      </c>
    </row>
    <row r="127" collapsed="1">
      <c r="A127" s="3" t="s">
        <v>92</v>
      </c>
      <c r="B127" s="5" t="s">
        <v>93</v>
      </c>
      <c r="C127" s="3">
        <v>1.0</v>
      </c>
      <c r="D127" s="3">
        <v>10.0</v>
      </c>
    </row>
    <row r="128" hidden="1" outlineLevel="1">
      <c r="A128" s="3"/>
      <c r="B128" s="7" t="s">
        <v>94</v>
      </c>
      <c r="C128" s="3"/>
      <c r="D128" s="3"/>
    </row>
    <row r="129" hidden="1" outlineLevel="1">
      <c r="A129" s="3"/>
      <c r="B129" s="7" t="s">
        <v>95</v>
      </c>
      <c r="C129" s="3"/>
      <c r="D129" s="3"/>
    </row>
    <row r="130" hidden="1" outlineLevel="1">
      <c r="A130" s="3"/>
      <c r="B130" s="7" t="s">
        <v>96</v>
      </c>
      <c r="C130" s="3"/>
      <c r="D130" s="3"/>
    </row>
    <row r="131" hidden="1" outlineLevel="1">
      <c r="A131" s="3"/>
      <c r="B131" s="7" t="s">
        <v>97</v>
      </c>
      <c r="C131" s="3"/>
      <c r="D131" s="3"/>
    </row>
    <row r="132" hidden="1" outlineLevel="1">
      <c r="A132" s="3"/>
      <c r="B132" s="7" t="s">
        <v>98</v>
      </c>
      <c r="C132" s="3"/>
      <c r="D132" s="3"/>
    </row>
    <row r="133" collapsed="1">
      <c r="A133" s="3" t="s">
        <v>99</v>
      </c>
      <c r="B133" s="3" t="s">
        <v>100</v>
      </c>
      <c r="C133" s="3">
        <v>2.0</v>
      </c>
      <c r="D133" s="3">
        <v>10.0</v>
      </c>
    </row>
    <row r="134" hidden="1" outlineLevel="1">
      <c r="A134" s="3"/>
      <c r="B134" s="9" t="s">
        <v>101</v>
      </c>
      <c r="C134" s="3"/>
      <c r="D134" s="3"/>
    </row>
    <row r="135" hidden="1" outlineLevel="1">
      <c r="A135" s="3"/>
      <c r="B135" s="9" t="s">
        <v>102</v>
      </c>
      <c r="C135" s="3"/>
      <c r="D135" s="3"/>
    </row>
    <row r="136" collapsed="1">
      <c r="A136" s="3" t="s">
        <v>103</v>
      </c>
      <c r="B136" s="5" t="s">
        <v>104</v>
      </c>
      <c r="C136" s="3">
        <v>1.0</v>
      </c>
      <c r="D136" s="3">
        <v>10.0</v>
      </c>
    </row>
    <row r="137" hidden="1" outlineLevel="1">
      <c r="A137" s="3"/>
      <c r="B137" s="7" t="s">
        <v>105</v>
      </c>
      <c r="C137" s="3"/>
      <c r="D137" s="3"/>
    </row>
    <row r="138" hidden="1" outlineLevel="1">
      <c r="A138" s="3"/>
      <c r="B138" s="7" t="s">
        <v>106</v>
      </c>
      <c r="C138" s="3"/>
      <c r="D138" s="3"/>
    </row>
    <row r="139" hidden="1" outlineLevel="1">
      <c r="A139" s="3"/>
      <c r="B139" s="7" t="s">
        <v>107</v>
      </c>
      <c r="C139" s="3"/>
      <c r="D139" s="3"/>
    </row>
    <row r="140" hidden="1" outlineLevel="1">
      <c r="A140" s="3"/>
      <c r="B140" s="7" t="s">
        <v>108</v>
      </c>
      <c r="C140" s="3"/>
      <c r="D140" s="3"/>
    </row>
    <row r="141" hidden="1" outlineLevel="1">
      <c r="A141" s="3"/>
      <c r="B141" s="7" t="s">
        <v>109</v>
      </c>
      <c r="C141" s="3"/>
      <c r="D141" s="3"/>
    </row>
    <row r="142" collapsed="1">
      <c r="A142" s="3" t="s">
        <v>110</v>
      </c>
      <c r="B142" s="3" t="s">
        <v>111</v>
      </c>
      <c r="C142" s="3">
        <v>2.0</v>
      </c>
      <c r="D142" s="3">
        <v>15.0</v>
      </c>
    </row>
    <row r="143" hidden="1" outlineLevel="1">
      <c r="A143" s="3"/>
      <c r="B143" s="9" t="s">
        <v>112</v>
      </c>
      <c r="C143" s="3"/>
      <c r="D143" s="3"/>
    </row>
    <row r="144" hidden="1" outlineLevel="1">
      <c r="A144" s="3"/>
      <c r="B144" s="9" t="s">
        <v>113</v>
      </c>
      <c r="C144" s="3"/>
      <c r="D144" s="3"/>
    </row>
    <row r="145" hidden="1" outlineLevel="1">
      <c r="A145" s="3"/>
      <c r="B145" s="9" t="s">
        <v>114</v>
      </c>
      <c r="C145" s="3"/>
      <c r="D145" s="3"/>
    </row>
    <row r="146" collapsed="1">
      <c r="A146" s="3" t="s">
        <v>115</v>
      </c>
      <c r="B146" s="5" t="s">
        <v>116</v>
      </c>
      <c r="C146" s="3">
        <v>2.0</v>
      </c>
      <c r="D146" s="3">
        <v>20.0</v>
      </c>
    </row>
    <row r="147" hidden="1" outlineLevel="1">
      <c r="A147" s="3"/>
      <c r="B147" s="7" t="s">
        <v>117</v>
      </c>
      <c r="C147" s="3"/>
      <c r="D147" s="3"/>
    </row>
    <row r="148" hidden="1" outlineLevel="1">
      <c r="A148" s="3"/>
      <c r="B148" s="7" t="s">
        <v>118</v>
      </c>
      <c r="C148" s="3"/>
      <c r="D148" s="3"/>
    </row>
    <row r="149" hidden="1" outlineLevel="1">
      <c r="A149" s="3"/>
      <c r="B149" s="7" t="s">
        <v>119</v>
      </c>
      <c r="C149" s="3"/>
      <c r="D149" s="3"/>
    </row>
    <row r="150" hidden="1" outlineLevel="1">
      <c r="A150" s="3"/>
      <c r="B150" s="7" t="s">
        <v>120</v>
      </c>
      <c r="C150" s="3"/>
      <c r="D150" s="3"/>
    </row>
    <row r="151" hidden="1" outlineLevel="1">
      <c r="A151" s="3"/>
      <c r="B151" s="7" t="s">
        <v>121</v>
      </c>
      <c r="C151" s="3"/>
      <c r="D151" s="3"/>
    </row>
    <row r="152" hidden="1" outlineLevel="1">
      <c r="A152" s="3"/>
      <c r="B152" s="7" t="s">
        <v>122</v>
      </c>
      <c r="C152" s="3"/>
      <c r="D152" s="3"/>
    </row>
    <row r="153" collapsed="1">
      <c r="A153" s="3" t="s">
        <v>123</v>
      </c>
      <c r="B153" s="3" t="s">
        <v>124</v>
      </c>
      <c r="C153" s="3">
        <v>2.0</v>
      </c>
      <c r="D153" s="3">
        <v>25.0</v>
      </c>
    </row>
    <row r="154" hidden="1" outlineLevel="1">
      <c r="A154" s="3"/>
      <c r="B154" s="9" t="s">
        <v>125</v>
      </c>
      <c r="C154" s="3"/>
      <c r="D154" s="3"/>
    </row>
    <row r="155" hidden="1" outlineLevel="1">
      <c r="A155" s="3"/>
      <c r="B155" s="9" t="s">
        <v>126</v>
      </c>
      <c r="C155" s="3"/>
      <c r="D155" s="3"/>
    </row>
    <row r="156" hidden="1" outlineLevel="1">
      <c r="A156" s="3"/>
      <c r="B156" s="9" t="s">
        <v>127</v>
      </c>
      <c r="C156" s="3"/>
      <c r="D156" s="3"/>
    </row>
    <row r="157" hidden="1" outlineLevel="1">
      <c r="A157" s="3"/>
      <c r="B157" s="9" t="s">
        <v>128</v>
      </c>
      <c r="C157" s="3"/>
      <c r="D157" s="3"/>
    </row>
    <row r="158" hidden="1" outlineLevel="1">
      <c r="A158" s="3"/>
      <c r="B158" s="9" t="s">
        <v>129</v>
      </c>
      <c r="C158" s="3"/>
      <c r="D158" s="3"/>
    </row>
    <row r="159" hidden="1" outlineLevel="1">
      <c r="A159" s="3"/>
      <c r="B159" s="9" t="s">
        <v>130</v>
      </c>
      <c r="C159" s="3"/>
      <c r="D159" s="3"/>
    </row>
    <row r="160" collapsed="1">
      <c r="A160" s="3" t="s">
        <v>131</v>
      </c>
      <c r="B160" s="3" t="s">
        <v>132</v>
      </c>
      <c r="C160" s="3">
        <v>2.0</v>
      </c>
      <c r="D160" s="3">
        <v>20.0</v>
      </c>
    </row>
    <row r="161" hidden="1" outlineLevel="1">
      <c r="A161" s="3"/>
      <c r="B161" s="9" t="s">
        <v>133</v>
      </c>
      <c r="C161" s="3"/>
      <c r="D161" s="3"/>
    </row>
    <row r="162">
      <c r="A162" s="3"/>
      <c r="B162" s="3"/>
      <c r="C162" s="3"/>
      <c r="D162" s="3"/>
    </row>
    <row r="163">
      <c r="A163" s="3"/>
      <c r="B163" s="4" t="s">
        <v>134</v>
      </c>
      <c r="C163" s="4">
        <f>SUM(C164:C197)</f>
        <v>9.0</v>
      </c>
      <c r="D163" s="4">
        <f>SUM(D164:D187)</f>
        <v>60.0</v>
      </c>
    </row>
    <row r="164" collapsed="1">
      <c r="A164" s="3" t="s">
        <v>135</v>
      </c>
      <c r="B164" s="3" t="s">
        <v>136</v>
      </c>
      <c r="C164" s="3">
        <v>1.0</v>
      </c>
      <c r="D164" s="3">
        <v>5.0</v>
      </c>
    </row>
    <row r="165" hidden="1" outlineLevel="1">
      <c r="A165" s="3"/>
      <c r="B165" s="9" t="s">
        <v>137</v>
      </c>
      <c r="C165" s="3"/>
      <c r="D165" s="3"/>
    </row>
    <row r="166" hidden="1" outlineLevel="1">
      <c r="A166" s="3"/>
      <c r="B166" s="9" t="s">
        <v>138</v>
      </c>
      <c r="C166" s="3"/>
      <c r="D166" s="3"/>
    </row>
    <row r="167" hidden="1" outlineLevel="1">
      <c r="A167" s="3"/>
      <c r="B167" s="9" t="s">
        <v>139</v>
      </c>
      <c r="C167" s="3"/>
      <c r="D167" s="3"/>
    </row>
    <row r="168" hidden="1" outlineLevel="1">
      <c r="A168" s="3"/>
      <c r="B168" s="9" t="s">
        <v>140</v>
      </c>
      <c r="C168" s="3"/>
      <c r="D168" s="3"/>
    </row>
    <row r="169" hidden="1" outlineLevel="1">
      <c r="A169" s="3"/>
      <c r="B169" s="9" t="s">
        <v>141</v>
      </c>
      <c r="C169" s="3"/>
      <c r="D169" s="3"/>
    </row>
    <row r="170" collapsed="1">
      <c r="A170" s="3" t="s">
        <v>142</v>
      </c>
      <c r="B170" s="3" t="s">
        <v>143</v>
      </c>
      <c r="C170" s="3">
        <v>2.0</v>
      </c>
      <c r="D170" s="3">
        <v>5.0</v>
      </c>
    </row>
    <row r="171" hidden="1" outlineLevel="1">
      <c r="A171" s="3"/>
      <c r="B171" s="9" t="s">
        <v>144</v>
      </c>
      <c r="C171" s="3"/>
      <c r="D171" s="3"/>
    </row>
    <row r="172" hidden="1" outlineLevel="1">
      <c r="A172" s="3"/>
      <c r="B172" s="9" t="s">
        <v>138</v>
      </c>
      <c r="C172" s="3"/>
      <c r="D172" s="3"/>
    </row>
    <row r="173" hidden="1" outlineLevel="1">
      <c r="A173" s="3"/>
      <c r="B173" s="9" t="s">
        <v>139</v>
      </c>
      <c r="C173" s="3"/>
      <c r="D173" s="3"/>
    </row>
    <row r="174" hidden="1" outlineLevel="1">
      <c r="A174" s="3"/>
      <c r="B174" s="9" t="s">
        <v>140</v>
      </c>
      <c r="C174" s="3"/>
      <c r="D174" s="3"/>
    </row>
    <row r="175" hidden="1" outlineLevel="1">
      <c r="A175" s="3"/>
      <c r="B175" s="9" t="s">
        <v>141</v>
      </c>
      <c r="C175" s="3"/>
      <c r="D175" s="3"/>
    </row>
    <row r="176" collapsed="1">
      <c r="A176" s="3" t="s">
        <v>145</v>
      </c>
      <c r="B176" s="3" t="s">
        <v>146</v>
      </c>
      <c r="C176" s="3">
        <v>1.0</v>
      </c>
      <c r="D176" s="3">
        <v>10.0</v>
      </c>
    </row>
    <row r="177" hidden="1" outlineLevel="1">
      <c r="A177" s="3"/>
      <c r="B177" s="9" t="s">
        <v>147</v>
      </c>
      <c r="C177" s="3"/>
      <c r="D177" s="3"/>
    </row>
    <row r="178" hidden="1" outlineLevel="1">
      <c r="A178" s="3"/>
      <c r="B178" s="9" t="s">
        <v>148</v>
      </c>
      <c r="C178" s="3"/>
      <c r="D178" s="3"/>
    </row>
    <row r="179" hidden="1" outlineLevel="1">
      <c r="A179" s="3"/>
      <c r="B179" s="9" t="s">
        <v>149</v>
      </c>
      <c r="C179" s="3"/>
      <c r="D179" s="3"/>
    </row>
    <row r="180" hidden="1" outlineLevel="1">
      <c r="A180" s="3"/>
      <c r="B180" s="9" t="s">
        <v>150</v>
      </c>
      <c r="C180" s="3"/>
      <c r="D180" s="3"/>
    </row>
    <row r="181">
      <c r="A181" s="3" t="s">
        <v>151</v>
      </c>
      <c r="B181" s="3" t="s">
        <v>152</v>
      </c>
      <c r="C181" s="3">
        <v>1.0</v>
      </c>
      <c r="D181" s="3">
        <v>10.0</v>
      </c>
    </row>
    <row r="182" collapsed="1">
      <c r="A182" s="3" t="s">
        <v>153</v>
      </c>
      <c r="B182" s="8" t="s">
        <v>154</v>
      </c>
      <c r="C182" s="3">
        <v>1.0</v>
      </c>
      <c r="D182" s="3">
        <v>10.0</v>
      </c>
    </row>
    <row r="183" hidden="1" outlineLevel="1">
      <c r="A183" s="3"/>
      <c r="B183" s="7" t="s">
        <v>155</v>
      </c>
      <c r="C183" s="3"/>
      <c r="D183" s="3"/>
    </row>
    <row r="184" hidden="1" outlineLevel="1">
      <c r="A184" s="3"/>
      <c r="B184" s="7" t="s">
        <v>156</v>
      </c>
      <c r="C184" s="3"/>
      <c r="D184" s="3"/>
    </row>
    <row r="185" hidden="1" outlineLevel="1">
      <c r="A185" s="3"/>
      <c r="B185" s="7" t="s">
        <v>157</v>
      </c>
      <c r="C185" s="3"/>
      <c r="D185" s="3"/>
    </row>
    <row r="186" hidden="1" outlineLevel="1">
      <c r="A186" s="3"/>
      <c r="B186" s="7" t="s">
        <v>158</v>
      </c>
      <c r="C186" s="3"/>
      <c r="D186" s="3"/>
    </row>
    <row r="187" collapsed="1">
      <c r="A187" s="3" t="s">
        <v>159</v>
      </c>
      <c r="B187" s="3" t="s">
        <v>160</v>
      </c>
      <c r="C187" s="3">
        <v>2.0</v>
      </c>
      <c r="D187" s="3">
        <v>20.0</v>
      </c>
    </row>
    <row r="188" hidden="1" outlineLevel="1">
      <c r="A188" s="3"/>
      <c r="B188" s="9" t="s">
        <v>161</v>
      </c>
      <c r="C188" s="3"/>
      <c r="D188" s="3"/>
    </row>
    <row r="189" hidden="1" outlineLevel="1">
      <c r="A189" s="3"/>
      <c r="B189" s="9" t="s">
        <v>162</v>
      </c>
      <c r="C189" s="3"/>
      <c r="D189" s="3"/>
    </row>
    <row r="190" hidden="1" outlineLevel="1">
      <c r="A190" s="3"/>
      <c r="B190" s="9" t="s">
        <v>163</v>
      </c>
      <c r="C190" s="3"/>
      <c r="D190" s="3"/>
    </row>
    <row r="191" hidden="1" outlineLevel="1">
      <c r="A191" s="3"/>
      <c r="B191" s="9" t="s">
        <v>164</v>
      </c>
      <c r="C191" s="3"/>
      <c r="D191" s="3"/>
    </row>
    <row r="192" hidden="1" outlineLevel="1">
      <c r="A192" s="3"/>
      <c r="B192" s="9" t="s">
        <v>165</v>
      </c>
      <c r="C192" s="3"/>
      <c r="D192" s="3"/>
    </row>
    <row r="193" hidden="1" outlineLevel="1">
      <c r="A193" s="3"/>
      <c r="B193" s="9" t="s">
        <v>166</v>
      </c>
      <c r="C193" s="3"/>
      <c r="D193" s="3"/>
    </row>
    <row r="194" hidden="1" outlineLevel="1">
      <c r="A194" s="3"/>
      <c r="B194" s="9" t="s">
        <v>167</v>
      </c>
      <c r="C194" s="3"/>
      <c r="D194" s="3"/>
    </row>
    <row r="195" hidden="1" outlineLevel="1">
      <c r="A195" s="3"/>
      <c r="B195" s="9" t="s">
        <v>168</v>
      </c>
      <c r="C195" s="3"/>
      <c r="D195" s="3"/>
    </row>
    <row r="196" hidden="1" outlineLevel="1">
      <c r="A196" s="3"/>
      <c r="B196" s="9" t="s">
        <v>169</v>
      </c>
      <c r="C196" s="3"/>
      <c r="D196" s="3"/>
    </row>
    <row r="197" collapsed="1">
      <c r="A197" s="3" t="s">
        <v>349</v>
      </c>
      <c r="B197" s="13" t="s">
        <v>350</v>
      </c>
      <c r="C197" s="3">
        <v>1.0</v>
      </c>
      <c r="D197" s="3">
        <v>20.0</v>
      </c>
    </row>
    <row r="198" hidden="1" outlineLevel="1">
      <c r="A198" s="3"/>
      <c r="B198" s="9" t="s">
        <v>351</v>
      </c>
      <c r="C198" s="3"/>
      <c r="D198" s="3"/>
    </row>
    <row r="199" hidden="1" outlineLevel="1">
      <c r="A199" s="3"/>
      <c r="B199" s="9" t="s">
        <v>352</v>
      </c>
      <c r="C199" s="3"/>
      <c r="D199" s="3"/>
    </row>
    <row r="200">
      <c r="A200" s="4" t="s">
        <v>170</v>
      </c>
      <c r="B200" s="4"/>
      <c r="C200" s="4">
        <f>C2+C13+C22+C100+C125+C163</f>
        <v>80.0</v>
      </c>
      <c r="D200" s="4">
        <f>D2+D13+D22+D100+D125+D163</f>
        <v>660.0</v>
      </c>
    </row>
  </sheetData>
  <printOptions/>
  <pageMargins left="0.6740767578124998" right="0.6740767578124998" top="0.7222250976562498" bottom="0.7222250976562498" footer="0.2888900390625" header="0.2888900390625"/>
  <pageSetup paperSize="9" orientation="portrait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outlinePr/>
    <pageSetUpPr/>
  </sheetPr>
  <dimension ref="A1:D197"/>
  <sheetViews>
    <sheetView topLeftCell="A8" workbookViewId="0" zoomScaleNormal="100" zoomScaleSheetLayoutView="60">
      <selection activeCell="B93" sqref="B93"/>
    </sheetView>
  </sheetViews>
  <sheetFormatPr defaultRowHeight="15.0" outlineLevelRow="1"/>
  <cols>
    <col min="1" max="1" width="5.251953125" customWidth="1"/>
    <col min="2" max="2" width="56.251953125" customWidth="1"/>
    <col min="3" max="3" width="7.001953125" bestFit="1" customWidth="1"/>
    <col min="4" max="4" width="8.876953125" bestFit="1" customWidth="1"/>
  </cols>
  <sheetData>
    <row r="1" ht="45.0">
      <c r="A1" s="1" t="s">
        <v>0</v>
      </c>
      <c r="B1" s="1" t="s">
        <v>1</v>
      </c>
      <c r="C1" s="1" t="s">
        <v>2</v>
      </c>
      <c r="D1" s="2" t="s">
        <v>3</v>
      </c>
    </row>
    <row r="2">
      <c r="A2" s="3"/>
      <c r="B2" s="4" t="s">
        <v>4</v>
      </c>
      <c r="C2" s="4">
        <f>SUM(C3:C8)</f>
        <v>6.0</v>
      </c>
      <c r="D2" s="4">
        <f>SUM(D3:D8)</f>
        <v>30.0</v>
      </c>
    </row>
    <row r="3">
      <c r="A3" s="3" t="s">
        <v>5</v>
      </c>
      <c r="B3" s="3" t="s">
        <v>6</v>
      </c>
      <c r="C3" s="3">
        <v>1.0</v>
      </c>
      <c r="D3" s="3">
        <v>5.0</v>
      </c>
    </row>
    <row r="4" collapsed="1">
      <c r="A4" s="3" t="s">
        <v>7</v>
      </c>
      <c r="B4" s="5" t="s">
        <v>8</v>
      </c>
      <c r="C4" s="3">
        <v>3.0</v>
      </c>
      <c r="D4" s="6">
        <v>15.0</v>
      </c>
    </row>
    <row r="5" hidden="1" outlineLevel="1">
      <c r="A5" s="3"/>
      <c r="B5" s="7" t="s">
        <v>9</v>
      </c>
      <c r="C5" s="3"/>
      <c r="D5" s="6"/>
    </row>
    <row r="6" hidden="1" outlineLevel="1">
      <c r="A6" s="3"/>
      <c r="B6" s="7" t="s">
        <v>10</v>
      </c>
      <c r="C6" s="3"/>
      <c r="D6" s="6"/>
    </row>
    <row r="7" hidden="1" outlineLevel="1">
      <c r="A7" s="3"/>
      <c r="B7" s="7" t="s">
        <v>11</v>
      </c>
      <c r="C7" s="3"/>
      <c r="D7" s="6"/>
    </row>
    <row r="8" collapsed="1">
      <c r="A8" s="3" t="s">
        <v>12</v>
      </c>
      <c r="B8" s="8" t="s">
        <v>13</v>
      </c>
      <c r="C8" s="3">
        <v>2.0</v>
      </c>
      <c r="D8" s="3">
        <v>10.0</v>
      </c>
    </row>
    <row r="9" hidden="1" outlineLevel="1">
      <c r="A9" s="3"/>
      <c r="B9" s="7" t="s">
        <v>14</v>
      </c>
      <c r="C9" s="3"/>
      <c r="D9" s="3"/>
    </row>
    <row r="10" hidden="1" outlineLevel="1">
      <c r="A10" s="3"/>
      <c r="B10" s="9" t="s">
        <v>15</v>
      </c>
      <c r="C10" s="3"/>
      <c r="D10" s="3"/>
    </row>
    <row r="11" hidden="1" outlineLevel="1">
      <c r="A11" s="3"/>
      <c r="B11" s="9" t="s">
        <v>16</v>
      </c>
      <c r="C11" s="3"/>
      <c r="D11" s="3"/>
    </row>
    <row r="12" collapsed="1">
      <c r="A12" s="3"/>
      <c r="B12" s="3"/>
      <c r="C12" s="3"/>
      <c r="D12" s="3"/>
    </row>
    <row r="13">
      <c r="A13" s="3"/>
      <c r="B13" s="4" t="s">
        <v>17</v>
      </c>
      <c r="C13" s="4">
        <f>SUM(C14,C20)</f>
        <v>3.0</v>
      </c>
      <c r="D13" s="4">
        <f>SUM(D14:D20)</f>
        <v>30.0</v>
      </c>
    </row>
    <row r="14" collapsed="1">
      <c r="A14" s="3" t="s">
        <v>18</v>
      </c>
      <c r="B14" s="5" t="s">
        <v>19</v>
      </c>
      <c r="C14" s="3">
        <v>1.0</v>
      </c>
      <c r="D14" s="3">
        <v>10.0</v>
      </c>
    </row>
    <row r="15" hidden="1" outlineLevel="1">
      <c r="A15" s="3"/>
      <c r="B15" s="7" t="s">
        <v>20</v>
      </c>
      <c r="C15" s="3"/>
      <c r="D15" s="3"/>
    </row>
    <row r="16" hidden="1" outlineLevel="1">
      <c r="A16" s="3"/>
      <c r="B16" s="7" t="s">
        <v>21</v>
      </c>
      <c r="C16" s="3"/>
      <c r="D16" s="3"/>
    </row>
    <row r="17" hidden="1" outlineLevel="1">
      <c r="A17" s="3"/>
      <c r="B17" s="7" t="s">
        <v>22</v>
      </c>
      <c r="C17" s="3"/>
      <c r="D17" s="3"/>
    </row>
    <row r="18" hidden="1" outlineLevel="1">
      <c r="A18" s="3"/>
      <c r="B18" s="7" t="s">
        <v>23</v>
      </c>
      <c r="C18" s="3"/>
      <c r="D18" s="3"/>
    </row>
    <row r="19" hidden="1" outlineLevel="1">
      <c r="A19" s="3"/>
      <c r="B19" s="7" t="s">
        <v>24</v>
      </c>
      <c r="C19" s="3"/>
      <c r="D19" s="3"/>
    </row>
    <row r="20" collapsed="1">
      <c r="A20" s="3" t="s">
        <v>25</v>
      </c>
      <c r="B20" s="8" t="s">
        <v>26</v>
      </c>
      <c r="C20" s="3">
        <v>2.0</v>
      </c>
      <c r="D20" s="3">
        <v>20.0</v>
      </c>
    </row>
    <row r="21">
      <c r="A21" s="3"/>
      <c r="B21" s="8"/>
      <c r="C21" s="3"/>
      <c r="D21" s="3"/>
    </row>
    <row r="22">
      <c r="A22" s="3"/>
      <c r="B22" s="4" t="s">
        <v>762</v>
      </c>
      <c r="C22" s="4">
        <f>SUM(C23:C95)</f>
        <v>40.0</v>
      </c>
      <c r="D22" s="4">
        <f>SUM(D23:D95)</f>
        <v>330.0</v>
      </c>
    </row>
    <row r="23" collapsed="1">
      <c r="A23" s="3" t="s">
        <v>763</v>
      </c>
      <c r="B23" s="46" t="s">
        <v>764</v>
      </c>
      <c r="C23" s="3">
        <v>1.0</v>
      </c>
      <c r="D23" s="3">
        <v>10.0</v>
      </c>
    </row>
    <row r="24" hidden="1" outlineLevel="1">
      <c r="A24" s="3"/>
      <c r="B24" s="47" t="s">
        <v>765</v>
      </c>
      <c r="C24" s="3"/>
      <c r="D24" s="3"/>
    </row>
    <row r="25" hidden="1" outlineLevel="1">
      <c r="A25" s="3"/>
      <c r="B25" s="47" t="s">
        <v>766</v>
      </c>
      <c r="C25" s="3"/>
      <c r="D25" s="3"/>
    </row>
    <row r="26" collapsed="1">
      <c r="A26" s="3" t="s">
        <v>767</v>
      </c>
      <c r="B26" s="46" t="s">
        <v>768</v>
      </c>
      <c r="C26" s="3">
        <v>1.0</v>
      </c>
      <c r="D26" s="3">
        <v>15.0</v>
      </c>
    </row>
    <row r="27" hidden="1" outlineLevel="1">
      <c r="A27" s="3"/>
      <c r="B27" s="47" t="s">
        <v>769</v>
      </c>
      <c r="C27" s="3"/>
      <c r="D27" s="3"/>
    </row>
    <row r="28" hidden="1" outlineLevel="1">
      <c r="A28" s="3"/>
      <c r="B28" s="47" t="s">
        <v>770</v>
      </c>
      <c r="C28" s="3"/>
      <c r="D28" s="3"/>
    </row>
    <row r="29" hidden="1" outlineLevel="1">
      <c r="A29" s="3"/>
      <c r="B29" s="47" t="s">
        <v>771</v>
      </c>
      <c r="C29" s="3"/>
      <c r="D29" s="3"/>
    </row>
    <row r="30" hidden="1" outlineLevel="1">
      <c r="A30" s="3"/>
      <c r="B30" s="48" t="s">
        <v>772</v>
      </c>
      <c r="C30" s="3"/>
      <c r="D30" s="3"/>
    </row>
    <row r="31" collapsed="1">
      <c r="A31" s="3" t="s">
        <v>773</v>
      </c>
      <c r="B31" s="49" t="s">
        <v>774</v>
      </c>
      <c r="C31" s="3">
        <v>1.0</v>
      </c>
      <c r="D31" s="3">
        <v>10.0</v>
      </c>
    </row>
    <row r="32" hidden="1" outlineLevel="1">
      <c r="A32" s="3"/>
      <c r="B32" s="50" t="s">
        <v>775</v>
      </c>
      <c r="C32" s="3"/>
      <c r="D32" s="3"/>
    </row>
    <row r="33" hidden="1" outlineLevel="1">
      <c r="A33" s="3"/>
      <c r="B33" s="50" t="s">
        <v>776</v>
      </c>
      <c r="C33" s="3"/>
      <c r="D33" s="3"/>
    </row>
    <row r="34" hidden="1" outlineLevel="1">
      <c r="A34" s="3"/>
      <c r="B34" s="47" t="s">
        <v>777</v>
      </c>
      <c r="C34" s="3"/>
      <c r="D34" s="3"/>
    </row>
    <row r="35" collapsed="1">
      <c r="A35" s="3" t="s">
        <v>778</v>
      </c>
      <c r="B35" s="46" t="s">
        <v>779</v>
      </c>
      <c r="C35" s="3">
        <v>1.0</v>
      </c>
      <c r="D35" s="3">
        <v>10.0</v>
      </c>
    </row>
    <row r="36" hidden="1" outlineLevel="1">
      <c r="A36" s="3"/>
      <c r="B36" s="51" t="s">
        <v>780</v>
      </c>
      <c r="C36" s="3"/>
      <c r="D36" s="3"/>
    </row>
    <row r="37" hidden="1" outlineLevel="1">
      <c r="A37" s="3"/>
      <c r="B37" s="51" t="s">
        <v>781</v>
      </c>
      <c r="C37" s="3"/>
      <c r="D37" s="3"/>
    </row>
    <row r="38" hidden="1" outlineLevel="1">
      <c r="A38" s="3"/>
      <c r="B38" s="47" t="s">
        <v>782</v>
      </c>
      <c r="C38" s="3"/>
      <c r="D38" s="3"/>
    </row>
    <row r="39" collapsed="1">
      <c r="A39" s="3" t="s">
        <v>783</v>
      </c>
      <c r="B39" s="46" t="s">
        <v>784</v>
      </c>
      <c r="C39" s="3">
        <v>2.0</v>
      </c>
      <c r="D39" s="3">
        <v>15.0</v>
      </c>
    </row>
    <row r="40" hidden="1" outlineLevel="1">
      <c r="A40" s="3"/>
      <c r="B40" s="51" t="s">
        <v>785</v>
      </c>
      <c r="C40" s="3"/>
      <c r="D40" s="3"/>
    </row>
    <row r="41" hidden="1" outlineLevel="1">
      <c r="A41" s="3"/>
      <c r="B41" s="47" t="s">
        <v>786</v>
      </c>
      <c r="C41" s="3"/>
      <c r="D41" s="3"/>
    </row>
    <row r="42" collapsed="1">
      <c r="A42" s="3" t="s">
        <v>787</v>
      </c>
      <c r="B42" s="12" t="s">
        <v>788</v>
      </c>
      <c r="C42" s="3">
        <v>1.0</v>
      </c>
      <c r="D42" s="3">
        <v>5.0</v>
      </c>
    </row>
    <row r="43" hidden="1" outlineLevel="1">
      <c r="A43" s="3"/>
      <c r="B43" s="12" t="s">
        <v>789</v>
      </c>
      <c r="C43" s="3"/>
      <c r="D43" s="3"/>
    </row>
    <row r="44" hidden="1" outlineLevel="1">
      <c r="A44" s="3"/>
      <c r="B44" s="12" t="s">
        <v>790</v>
      </c>
      <c r="C44" s="3"/>
      <c r="D44" s="3"/>
    </row>
    <row r="45" hidden="1" outlineLevel="1">
      <c r="A45" s="3"/>
      <c r="B45" s="12" t="s">
        <v>791</v>
      </c>
      <c r="C45" s="3"/>
      <c r="D45" s="3"/>
    </row>
    <row r="46" hidden="1" outlineLevel="1">
      <c r="A46" s="3"/>
      <c r="B46" s="12" t="s">
        <v>792</v>
      </c>
      <c r="C46" s="3"/>
      <c r="D46" s="3"/>
    </row>
    <row r="47" hidden="1" outlineLevel="1">
      <c r="A47" s="3"/>
      <c r="B47" s="12" t="s">
        <v>793</v>
      </c>
      <c r="C47" s="3"/>
      <c r="D47" s="3"/>
    </row>
    <row r="48" collapsed="1">
      <c r="A48" s="3" t="s">
        <v>794</v>
      </c>
      <c r="B48" s="52" t="s">
        <v>795</v>
      </c>
      <c r="C48" s="3">
        <v>1.0</v>
      </c>
      <c r="D48" s="3">
        <v>5.0</v>
      </c>
    </row>
    <row r="49" collapsed="1">
      <c r="A49" s="3" t="s">
        <v>796</v>
      </c>
      <c r="B49" s="46" t="s">
        <v>797</v>
      </c>
      <c r="C49" s="3">
        <v>4.0</v>
      </c>
      <c r="D49" s="3">
        <v>25.0</v>
      </c>
    </row>
    <row r="50" hidden="1" outlineLevel="1">
      <c r="A50" s="3"/>
      <c r="B50" s="51" t="s">
        <v>798</v>
      </c>
      <c r="C50" s="3"/>
      <c r="D50" s="3"/>
    </row>
    <row r="51" hidden="1" outlineLevel="1">
      <c r="A51" s="3"/>
      <c r="B51" s="51" t="s">
        <v>799</v>
      </c>
      <c r="C51" s="3"/>
      <c r="D51" s="3"/>
    </row>
    <row r="52" hidden="1" outlineLevel="1">
      <c r="A52" s="3"/>
      <c r="B52" s="51" t="s">
        <v>800</v>
      </c>
      <c r="C52" s="3"/>
      <c r="D52" s="3"/>
    </row>
    <row r="53" hidden="1" outlineLevel="1">
      <c r="A53" s="3"/>
      <c r="B53" s="51" t="s">
        <v>801</v>
      </c>
      <c r="C53" s="3"/>
      <c r="D53" s="3"/>
    </row>
    <row r="54" hidden="1" outlineLevel="1">
      <c r="A54" s="3"/>
      <c r="B54" s="51" t="s">
        <v>802</v>
      </c>
      <c r="C54" s="3"/>
      <c r="D54" s="3"/>
    </row>
    <row r="55" hidden="1" outlineLevel="1">
      <c r="A55" s="3"/>
      <c r="B55" s="47" t="s">
        <v>803</v>
      </c>
      <c r="C55" s="3"/>
      <c r="D55" s="3"/>
    </row>
    <row r="56" collapsed="1">
      <c r="A56" s="3" t="s">
        <v>804</v>
      </c>
      <c r="B56" s="46" t="s">
        <v>805</v>
      </c>
      <c r="C56" s="3">
        <v>2.0</v>
      </c>
      <c r="D56" s="3">
        <v>10.0</v>
      </c>
    </row>
    <row r="57">
      <c r="A57" s="3" t="s">
        <v>806</v>
      </c>
      <c r="B57" s="52" t="s">
        <v>807</v>
      </c>
      <c r="C57" s="3">
        <v>1.0</v>
      </c>
      <c r="D57" s="3">
        <v>10.0</v>
      </c>
    </row>
    <row r="58" collapsed="1">
      <c r="A58" s="3" t="s">
        <v>808</v>
      </c>
      <c r="B58" s="46" t="s">
        <v>809</v>
      </c>
      <c r="C58" s="3">
        <v>2.0</v>
      </c>
      <c r="D58" s="3">
        <v>15.0</v>
      </c>
    </row>
    <row r="59" hidden="1" outlineLevel="1">
      <c r="A59" s="3"/>
      <c r="B59" s="47" t="s">
        <v>810</v>
      </c>
      <c r="C59" s="3"/>
      <c r="D59" s="3"/>
    </row>
    <row r="60" collapsed="1">
      <c r="A60" s="3" t="s">
        <v>811</v>
      </c>
      <c r="B60" s="46" t="s">
        <v>976</v>
      </c>
      <c r="C60" s="3">
        <v>1.0</v>
      </c>
      <c r="D60" s="3">
        <v>10.0</v>
      </c>
    </row>
    <row r="61" hidden="1" outlineLevel="1">
      <c r="A61" s="3"/>
      <c r="B61" s="51" t="s">
        <v>812</v>
      </c>
      <c r="C61" s="3"/>
      <c r="D61" s="3"/>
    </row>
    <row r="62" hidden="1" outlineLevel="1">
      <c r="A62" s="3"/>
      <c r="B62" s="51" t="s">
        <v>813</v>
      </c>
      <c r="C62" s="3"/>
      <c r="D62" s="3"/>
    </row>
    <row r="63" hidden="1" outlineLevel="1">
      <c r="A63" s="3"/>
      <c r="B63" s="47" t="s">
        <v>814</v>
      </c>
      <c r="C63" s="3"/>
      <c r="D63" s="3"/>
    </row>
    <row r="64" hidden="1" outlineLevel="1">
      <c r="A64" s="3"/>
      <c r="B64" s="47" t="s">
        <v>977</v>
      </c>
      <c r="C64" s="3"/>
      <c r="D64" s="3"/>
    </row>
    <row r="65" collapsed="1">
      <c r="A65" s="3" t="s">
        <v>815</v>
      </c>
      <c r="B65" s="46" t="s">
        <v>816</v>
      </c>
      <c r="C65" s="3">
        <v>2.0</v>
      </c>
      <c r="D65" s="3">
        <v>15.0</v>
      </c>
    </row>
    <row r="66" hidden="1" outlineLevel="1">
      <c r="A66" s="3"/>
      <c r="B66" s="47" t="s">
        <v>817</v>
      </c>
      <c r="C66" s="3"/>
      <c r="D66" s="3"/>
    </row>
    <row r="67" collapsed="1">
      <c r="A67" s="3" t="s">
        <v>818</v>
      </c>
      <c r="B67" s="46" t="s">
        <v>819</v>
      </c>
      <c r="C67" s="3">
        <v>3.0</v>
      </c>
      <c r="D67" s="3">
        <v>25.0</v>
      </c>
    </row>
    <row r="68" hidden="1" outlineLevel="1">
      <c r="A68" s="3"/>
      <c r="B68" s="51" t="s">
        <v>820</v>
      </c>
      <c r="C68" s="3"/>
      <c r="D68" s="3"/>
    </row>
    <row r="69" hidden="1" outlineLevel="1">
      <c r="A69" s="3"/>
      <c r="B69" s="51" t="s">
        <v>821</v>
      </c>
      <c r="C69" s="3"/>
      <c r="D69" s="3"/>
    </row>
    <row r="70" hidden="1" outlineLevel="1">
      <c r="A70" s="3"/>
      <c r="B70" s="47" t="s">
        <v>822</v>
      </c>
      <c r="C70" s="3"/>
      <c r="D70" s="3"/>
    </row>
    <row r="71" collapsed="1">
      <c r="A71" s="3" t="s">
        <v>823</v>
      </c>
      <c r="B71" s="46" t="s">
        <v>824</v>
      </c>
      <c r="C71" s="3">
        <v>1.0</v>
      </c>
      <c r="D71" s="3">
        <v>15.0</v>
      </c>
    </row>
    <row r="72" hidden="1" outlineLevel="1">
      <c r="A72" s="3"/>
      <c r="B72" s="51" t="s">
        <v>825</v>
      </c>
      <c r="C72" s="3"/>
      <c r="D72" s="3"/>
    </row>
    <row r="73" hidden="1" outlineLevel="1">
      <c r="A73" s="3"/>
      <c r="B73" s="51" t="s">
        <v>826</v>
      </c>
      <c r="C73" s="3"/>
      <c r="D73" s="3"/>
    </row>
    <row r="74" hidden="1" outlineLevel="1">
      <c r="A74" s="3"/>
      <c r="B74" s="53" t="s">
        <v>827</v>
      </c>
      <c r="C74" s="3"/>
      <c r="D74" s="3"/>
    </row>
    <row r="75" collapsed="1">
      <c r="A75" s="54" t="s">
        <v>828</v>
      </c>
      <c r="B75" s="55" t="s">
        <v>829</v>
      </c>
      <c r="C75" s="3">
        <v>1.0</v>
      </c>
      <c r="D75" s="3">
        <v>15.0</v>
      </c>
    </row>
    <row r="76" collapsed="1">
      <c r="A76" s="3" t="s">
        <v>830</v>
      </c>
      <c r="B76" s="3" t="s">
        <v>831</v>
      </c>
      <c r="C76" s="3">
        <v>2.0</v>
      </c>
      <c r="D76" s="3">
        <v>20.0</v>
      </c>
    </row>
    <row r="77" hidden="1" outlineLevel="1">
      <c r="A77" s="3"/>
      <c r="B77" s="9" t="s">
        <v>832</v>
      </c>
      <c r="C77" s="3"/>
      <c r="D77" s="3"/>
    </row>
    <row r="78" hidden="1" outlineLevel="1">
      <c r="A78" s="3"/>
      <c r="B78" s="9" t="s">
        <v>833</v>
      </c>
      <c r="C78" s="3"/>
      <c r="D78" s="3"/>
    </row>
    <row r="79" hidden="1" outlineLevel="1">
      <c r="A79" s="3"/>
      <c r="B79" s="9" t="s">
        <v>834</v>
      </c>
      <c r="C79" s="3"/>
      <c r="D79" s="3"/>
    </row>
    <row r="80" hidden="1" outlineLevel="1">
      <c r="A80" s="54"/>
      <c r="B80" s="47" t="s">
        <v>835</v>
      </c>
      <c r="C80" s="54"/>
      <c r="D80" s="54"/>
    </row>
    <row r="81" collapsed="1">
      <c r="A81" s="3" t="s">
        <v>836</v>
      </c>
      <c r="B81" s="56" t="s">
        <v>837</v>
      </c>
      <c r="C81" s="3">
        <v>2.0</v>
      </c>
      <c r="D81" s="3">
        <v>15.0</v>
      </c>
    </row>
    <row r="82" hidden="1" outlineLevel="1">
      <c r="A82" s="3"/>
      <c r="B82" s="9" t="s">
        <v>838</v>
      </c>
      <c r="C82" s="3"/>
      <c r="D82" s="3"/>
    </row>
    <row r="83" hidden="1" outlineLevel="1">
      <c r="A83" s="3"/>
      <c r="B83" s="9" t="s">
        <v>839</v>
      </c>
      <c r="C83" s="3"/>
      <c r="D83" s="3"/>
    </row>
    <row r="84" hidden="1" outlineLevel="1">
      <c r="A84" s="3"/>
      <c r="B84" s="9" t="s">
        <v>840</v>
      </c>
      <c r="C84" s="3"/>
      <c r="D84" s="3"/>
    </row>
    <row r="85" hidden="1" outlineLevel="1">
      <c r="A85" s="3"/>
      <c r="B85" s="9" t="s">
        <v>841</v>
      </c>
      <c r="C85" s="3"/>
      <c r="D85" s="3"/>
    </row>
    <row r="86" hidden="1" outlineLevel="1">
      <c r="A86" s="54"/>
      <c r="B86" s="47" t="s">
        <v>842</v>
      </c>
      <c r="C86" s="54"/>
      <c r="D86" s="3"/>
    </row>
    <row r="87" collapsed="1">
      <c r="A87" s="3" t="s">
        <v>843</v>
      </c>
      <c r="B87" s="3" t="s">
        <v>844</v>
      </c>
      <c r="C87" s="3">
        <v>3.0</v>
      </c>
      <c r="D87" s="3">
        <v>25.0</v>
      </c>
    </row>
    <row r="88" hidden="1" outlineLevel="1">
      <c r="A88" s="3"/>
      <c r="B88" s="9" t="s">
        <v>845</v>
      </c>
      <c r="C88" s="3"/>
      <c r="D88" s="3"/>
    </row>
    <row r="89" hidden="1" outlineLevel="1">
      <c r="A89" s="3"/>
      <c r="B89" s="9" t="s">
        <v>13</v>
      </c>
      <c r="C89" s="3"/>
      <c r="D89" s="3"/>
    </row>
    <row r="90" hidden="1" outlineLevel="1">
      <c r="A90" s="3"/>
      <c r="B90" s="9" t="s">
        <v>846</v>
      </c>
      <c r="C90" s="3"/>
      <c r="D90" s="3"/>
    </row>
    <row r="91" hidden="1" outlineLevel="1">
      <c r="A91" s="3"/>
      <c r="B91" s="47" t="s">
        <v>847</v>
      </c>
      <c r="C91" s="3"/>
      <c r="D91" s="3"/>
    </row>
    <row r="92" collapsed="1">
      <c r="A92" s="3" t="s">
        <v>848</v>
      </c>
      <c r="B92" s="52" t="s">
        <v>849</v>
      </c>
      <c r="C92" s="3">
        <v>2.0</v>
      </c>
      <c r="D92" s="3">
        <v>15.0</v>
      </c>
    </row>
    <row r="93">
      <c r="A93" s="3" t="s">
        <v>850</v>
      </c>
      <c r="B93" s="52" t="s">
        <v>978</v>
      </c>
      <c r="C93" s="3">
        <v>1.0</v>
      </c>
      <c r="D93" s="3">
        <v>10.0</v>
      </c>
    </row>
    <row r="94">
      <c r="A94" s="3" t="s">
        <v>851</v>
      </c>
      <c r="B94" s="52" t="s">
        <v>852</v>
      </c>
      <c r="C94" s="3">
        <v>4.0</v>
      </c>
      <c r="D94" s="3">
        <v>25.0</v>
      </c>
    </row>
    <row r="95">
      <c r="A95" s="3" t="s">
        <v>853</v>
      </c>
      <c r="B95" s="52" t="s">
        <v>854</v>
      </c>
      <c r="C95" s="3">
        <v>1.0</v>
      </c>
      <c r="D95" s="3">
        <v>10.0</v>
      </c>
    </row>
    <row r="96">
      <c r="A96" s="3"/>
      <c r="B96" s="3"/>
      <c r="C96" s="3"/>
      <c r="D96" s="3"/>
    </row>
    <row r="97">
      <c r="A97" s="3"/>
      <c r="B97" s="4" t="s">
        <v>61</v>
      </c>
      <c r="C97" s="4">
        <f>SUM(C98:C115)</f>
        <v>9.0</v>
      </c>
      <c r="D97" s="4">
        <f>SUM(D98:D115)</f>
        <v>90.0</v>
      </c>
    </row>
    <row r="98" collapsed="1">
      <c r="A98" s="3" t="s">
        <v>62</v>
      </c>
      <c r="B98" s="8" t="s">
        <v>19</v>
      </c>
      <c r="C98" s="3">
        <v>2.0</v>
      </c>
      <c r="D98" s="3">
        <v>20.0</v>
      </c>
    </row>
    <row r="99" hidden="1" outlineLevel="1">
      <c r="A99" s="3"/>
      <c r="B99" s="7" t="s">
        <v>63</v>
      </c>
      <c r="C99" s="3"/>
      <c r="D99" s="3"/>
    </row>
    <row r="100" hidden="1" outlineLevel="1">
      <c r="A100" s="3"/>
      <c r="B100" s="7" t="s">
        <v>64</v>
      </c>
      <c r="C100" s="3"/>
      <c r="D100" s="3"/>
    </row>
    <row r="101" hidden="1" outlineLevel="1">
      <c r="A101" s="3"/>
      <c r="B101" s="7" t="s">
        <v>65</v>
      </c>
      <c r="C101" s="3"/>
      <c r="D101" s="3"/>
    </row>
    <row r="102" hidden="1" outlineLevel="1">
      <c r="A102" s="3"/>
      <c r="B102" s="7" t="s">
        <v>66</v>
      </c>
      <c r="C102" s="3"/>
      <c r="D102" s="3"/>
    </row>
    <row r="103" hidden="1" outlineLevel="1">
      <c r="A103" s="3"/>
      <c r="B103" s="7" t="s">
        <v>67</v>
      </c>
      <c r="C103" s="3"/>
      <c r="D103" s="3"/>
    </row>
    <row r="104" collapsed="1">
      <c r="A104" s="3" t="s">
        <v>68</v>
      </c>
      <c r="B104" s="3" t="s">
        <v>69</v>
      </c>
      <c r="C104" s="3">
        <v>2.0</v>
      </c>
      <c r="D104" s="3">
        <v>20.0</v>
      </c>
    </row>
    <row r="105" hidden="1" outlineLevel="1">
      <c r="A105" s="3"/>
      <c r="B105" s="9" t="s">
        <v>70</v>
      </c>
      <c r="C105" s="3"/>
      <c r="D105" s="3"/>
    </row>
    <row r="106" hidden="1" outlineLevel="1">
      <c r="A106" s="3"/>
      <c r="B106" s="9" t="s">
        <v>71</v>
      </c>
      <c r="C106" s="3"/>
      <c r="D106" s="3"/>
    </row>
    <row r="107" hidden="1" outlineLevel="1">
      <c r="A107" s="3"/>
      <c r="B107" s="9" t="s">
        <v>72</v>
      </c>
      <c r="C107" s="3"/>
      <c r="D107" s="3"/>
    </row>
    <row r="108" collapsed="1">
      <c r="A108" s="3" t="s">
        <v>73</v>
      </c>
      <c r="B108" s="3" t="s">
        <v>74</v>
      </c>
      <c r="C108" s="3">
        <v>2.0</v>
      </c>
      <c r="D108" s="3">
        <v>20.0</v>
      </c>
    </row>
    <row r="109" hidden="1" outlineLevel="1">
      <c r="A109" s="3"/>
      <c r="B109" s="9" t="s">
        <v>75</v>
      </c>
      <c r="C109" s="3"/>
      <c r="D109" s="3"/>
    </row>
    <row r="110" hidden="1" outlineLevel="1">
      <c r="A110" s="3"/>
      <c r="B110" s="9" t="s">
        <v>76</v>
      </c>
      <c r="C110" s="3"/>
      <c r="D110" s="3"/>
    </row>
    <row r="111" hidden="1" outlineLevel="1">
      <c r="A111" s="3"/>
      <c r="B111" s="9" t="s">
        <v>77</v>
      </c>
      <c r="C111" s="3"/>
      <c r="D111" s="3"/>
    </row>
    <row r="112" collapsed="1">
      <c r="A112" s="3" t="s">
        <v>78</v>
      </c>
      <c r="B112" s="5" t="s">
        <v>79</v>
      </c>
      <c r="C112" s="3">
        <v>1.0</v>
      </c>
      <c r="D112" s="3">
        <v>15.0</v>
      </c>
    </row>
    <row r="113" hidden="1" outlineLevel="1">
      <c r="A113" s="3"/>
      <c r="B113" s="7" t="s">
        <v>80</v>
      </c>
      <c r="C113" s="3"/>
      <c r="D113" s="3"/>
    </row>
    <row r="114" hidden="1" outlineLevel="1">
      <c r="A114" s="3"/>
      <c r="B114" s="7" t="s">
        <v>81</v>
      </c>
      <c r="C114" s="3"/>
      <c r="D114" s="3"/>
    </row>
    <row r="115" collapsed="1">
      <c r="A115" s="3" t="s">
        <v>82</v>
      </c>
      <c r="B115" s="10" t="s">
        <v>83</v>
      </c>
      <c r="C115" s="3">
        <v>2.0</v>
      </c>
      <c r="D115" s="3">
        <v>15.0</v>
      </c>
    </row>
    <row r="116" hidden="1" outlineLevel="1">
      <c r="A116" s="3"/>
      <c r="B116" s="7" t="s">
        <v>84</v>
      </c>
      <c r="C116" s="3"/>
      <c r="D116" s="3"/>
    </row>
    <row r="117" hidden="1" outlineLevel="1">
      <c r="A117" s="3"/>
      <c r="B117" s="7" t="s">
        <v>85</v>
      </c>
      <c r="C117" s="3"/>
      <c r="D117" s="3"/>
    </row>
    <row r="118" hidden="1" outlineLevel="1">
      <c r="A118" s="3"/>
      <c r="B118" s="7" t="s">
        <v>86</v>
      </c>
      <c r="C118" s="3"/>
      <c r="D118" s="3"/>
    </row>
    <row r="119" hidden="1" outlineLevel="1">
      <c r="A119" s="3"/>
      <c r="B119" s="7" t="s">
        <v>87</v>
      </c>
      <c r="C119" s="3"/>
      <c r="D119" s="3"/>
    </row>
    <row r="120" hidden="1" outlineLevel="1">
      <c r="A120" s="3"/>
      <c r="B120" s="7" t="s">
        <v>88</v>
      </c>
      <c r="C120" s="3"/>
      <c r="D120" s="3"/>
    </row>
    <row r="121">
      <c r="A121" s="3"/>
      <c r="B121" s="3"/>
      <c r="C121" s="3"/>
      <c r="D121" s="3"/>
    </row>
    <row r="122">
      <c r="A122" s="3"/>
      <c r="B122" s="4" t="s">
        <v>89</v>
      </c>
      <c r="C122" s="4">
        <f>SUM(C123:C157)</f>
        <v>13.0</v>
      </c>
      <c r="D122" s="4">
        <f>SUM(D123:D157)</f>
        <v>120.0</v>
      </c>
    </row>
    <row r="123">
      <c r="A123" s="3" t="s">
        <v>90</v>
      </c>
      <c r="B123" s="5" t="s">
        <v>91</v>
      </c>
      <c r="C123" s="3">
        <v>1.0</v>
      </c>
      <c r="D123" s="3">
        <v>10.0</v>
      </c>
    </row>
    <row r="124" collapsed="1">
      <c r="A124" s="3" t="s">
        <v>92</v>
      </c>
      <c r="B124" s="5" t="s">
        <v>93</v>
      </c>
      <c r="C124" s="3">
        <v>1.0</v>
      </c>
      <c r="D124" s="3">
        <v>10.0</v>
      </c>
    </row>
    <row r="125" hidden="1" outlineLevel="1">
      <c r="A125" s="3"/>
      <c r="B125" s="7" t="s">
        <v>94</v>
      </c>
      <c r="C125" s="3"/>
      <c r="D125" s="3"/>
    </row>
    <row r="126" hidden="1" outlineLevel="1">
      <c r="A126" s="3"/>
      <c r="B126" s="7" t="s">
        <v>95</v>
      </c>
      <c r="C126" s="3"/>
      <c r="D126" s="3"/>
    </row>
    <row r="127" hidden="1" outlineLevel="1">
      <c r="A127" s="3"/>
      <c r="B127" s="7" t="s">
        <v>96</v>
      </c>
      <c r="C127" s="3"/>
      <c r="D127" s="3"/>
    </row>
    <row r="128" hidden="1" outlineLevel="1">
      <c r="A128" s="3"/>
      <c r="B128" s="7" t="s">
        <v>97</v>
      </c>
      <c r="C128" s="3"/>
      <c r="D128" s="3"/>
    </row>
    <row r="129" hidden="1" outlineLevel="1">
      <c r="A129" s="3"/>
      <c r="B129" s="7" t="s">
        <v>98</v>
      </c>
      <c r="C129" s="3"/>
      <c r="D129" s="3"/>
    </row>
    <row r="130" collapsed="1">
      <c r="A130" s="3" t="s">
        <v>99</v>
      </c>
      <c r="B130" s="3" t="s">
        <v>100</v>
      </c>
      <c r="C130" s="3">
        <v>2.0</v>
      </c>
      <c r="D130" s="3">
        <v>10.0</v>
      </c>
    </row>
    <row r="131" hidden="1" outlineLevel="1">
      <c r="A131" s="3"/>
      <c r="B131" s="9" t="s">
        <v>101</v>
      </c>
      <c r="C131" s="3"/>
      <c r="D131" s="3"/>
    </row>
    <row r="132" hidden="1" outlineLevel="1">
      <c r="A132" s="3"/>
      <c r="B132" s="9" t="s">
        <v>102</v>
      </c>
      <c r="C132" s="3"/>
      <c r="D132" s="3"/>
    </row>
    <row r="133" collapsed="1">
      <c r="A133" s="3" t="s">
        <v>103</v>
      </c>
      <c r="B133" s="5" t="s">
        <v>104</v>
      </c>
      <c r="C133" s="3">
        <v>1.0</v>
      </c>
      <c r="D133" s="3">
        <v>10.0</v>
      </c>
    </row>
    <row r="134" hidden="1" outlineLevel="1">
      <c r="A134" s="3"/>
      <c r="B134" s="7" t="s">
        <v>105</v>
      </c>
      <c r="C134" s="3"/>
      <c r="D134" s="3"/>
    </row>
    <row r="135" hidden="1" outlineLevel="1">
      <c r="A135" s="3"/>
      <c r="B135" s="7" t="s">
        <v>106</v>
      </c>
      <c r="C135" s="3"/>
      <c r="D135" s="3"/>
    </row>
    <row r="136" hidden="1" outlineLevel="1">
      <c r="A136" s="3"/>
      <c r="B136" s="7" t="s">
        <v>107</v>
      </c>
      <c r="C136" s="3"/>
      <c r="D136" s="3"/>
    </row>
    <row r="137" hidden="1" outlineLevel="1">
      <c r="A137" s="3"/>
      <c r="B137" s="7" t="s">
        <v>108</v>
      </c>
      <c r="C137" s="3"/>
      <c r="D137" s="3"/>
    </row>
    <row r="138" hidden="1" outlineLevel="1">
      <c r="A138" s="3"/>
      <c r="B138" s="7" t="s">
        <v>109</v>
      </c>
      <c r="C138" s="3"/>
      <c r="D138" s="3"/>
    </row>
    <row r="139" collapsed="1">
      <c r="A139" s="3" t="s">
        <v>110</v>
      </c>
      <c r="B139" s="3" t="s">
        <v>111</v>
      </c>
      <c r="C139" s="3">
        <v>2.0</v>
      </c>
      <c r="D139" s="3">
        <v>15.0</v>
      </c>
    </row>
    <row r="140" hidden="1" outlineLevel="1">
      <c r="A140" s="3"/>
      <c r="B140" s="9" t="s">
        <v>112</v>
      </c>
      <c r="C140" s="3"/>
      <c r="D140" s="3"/>
    </row>
    <row r="141" hidden="1" outlineLevel="1">
      <c r="A141" s="3"/>
      <c r="B141" s="9" t="s">
        <v>113</v>
      </c>
      <c r="C141" s="3"/>
      <c r="D141" s="3"/>
    </row>
    <row r="142" hidden="1" outlineLevel="1">
      <c r="A142" s="3"/>
      <c r="B142" s="9" t="s">
        <v>114</v>
      </c>
      <c r="C142" s="3"/>
      <c r="D142" s="3"/>
    </row>
    <row r="143" collapsed="1">
      <c r="A143" s="3" t="s">
        <v>115</v>
      </c>
      <c r="B143" s="5" t="s">
        <v>116</v>
      </c>
      <c r="C143" s="3">
        <v>2.0</v>
      </c>
      <c r="D143" s="3">
        <v>20.0</v>
      </c>
    </row>
    <row r="144" hidden="1" outlineLevel="1">
      <c r="A144" s="3"/>
      <c r="B144" s="7" t="s">
        <v>117</v>
      </c>
      <c r="C144" s="3"/>
      <c r="D144" s="3"/>
    </row>
    <row r="145" hidden="1" outlineLevel="1">
      <c r="A145" s="3"/>
      <c r="B145" s="7" t="s">
        <v>118</v>
      </c>
      <c r="C145" s="3"/>
      <c r="D145" s="3"/>
    </row>
    <row r="146" hidden="1" outlineLevel="1">
      <c r="A146" s="3"/>
      <c r="B146" s="7" t="s">
        <v>119</v>
      </c>
      <c r="C146" s="3"/>
      <c r="D146" s="3"/>
    </row>
    <row r="147" hidden="1" outlineLevel="1">
      <c r="A147" s="3"/>
      <c r="B147" s="7" t="s">
        <v>120</v>
      </c>
      <c r="C147" s="3"/>
      <c r="D147" s="3"/>
    </row>
    <row r="148" hidden="1" outlineLevel="1">
      <c r="A148" s="3"/>
      <c r="B148" s="7" t="s">
        <v>121</v>
      </c>
      <c r="C148" s="3"/>
      <c r="D148" s="3"/>
    </row>
    <row r="149" hidden="1" outlineLevel="1">
      <c r="A149" s="3"/>
      <c r="B149" s="7" t="s">
        <v>122</v>
      </c>
      <c r="C149" s="3"/>
      <c r="D149" s="3"/>
    </row>
    <row r="150" collapsed="1">
      <c r="A150" s="3" t="s">
        <v>123</v>
      </c>
      <c r="B150" s="3" t="s">
        <v>124</v>
      </c>
      <c r="C150" s="3">
        <v>2.0</v>
      </c>
      <c r="D150" s="3">
        <v>25.0</v>
      </c>
    </row>
    <row r="151" hidden="1" outlineLevel="1">
      <c r="A151" s="3"/>
      <c r="B151" s="9" t="s">
        <v>125</v>
      </c>
      <c r="C151" s="3"/>
      <c r="D151" s="3"/>
    </row>
    <row r="152" hidden="1" outlineLevel="1">
      <c r="A152" s="3"/>
      <c r="B152" s="9" t="s">
        <v>126</v>
      </c>
      <c r="C152" s="3"/>
      <c r="D152" s="3"/>
    </row>
    <row r="153" hidden="1" outlineLevel="1">
      <c r="A153" s="3"/>
      <c r="B153" s="9" t="s">
        <v>127</v>
      </c>
      <c r="C153" s="3"/>
      <c r="D153" s="3"/>
    </row>
    <row r="154" hidden="1" outlineLevel="1">
      <c r="A154" s="3"/>
      <c r="B154" s="9" t="s">
        <v>128</v>
      </c>
      <c r="C154" s="3"/>
      <c r="D154" s="3"/>
    </row>
    <row r="155" hidden="1" outlineLevel="1">
      <c r="A155" s="3"/>
      <c r="B155" s="9" t="s">
        <v>129</v>
      </c>
      <c r="C155" s="3"/>
      <c r="D155" s="3"/>
    </row>
    <row r="156" hidden="1" outlineLevel="1">
      <c r="A156" s="3"/>
      <c r="B156" s="9" t="s">
        <v>130</v>
      </c>
      <c r="C156" s="3"/>
      <c r="D156" s="3"/>
    </row>
    <row r="157" collapsed="1">
      <c r="A157" s="3" t="s">
        <v>131</v>
      </c>
      <c r="B157" s="3" t="s">
        <v>132</v>
      </c>
      <c r="C157" s="3">
        <v>2.0</v>
      </c>
      <c r="D157" s="3">
        <v>20.0</v>
      </c>
    </row>
    <row r="158" hidden="1" outlineLevel="1">
      <c r="A158" s="3"/>
      <c r="B158" s="9" t="s">
        <v>133</v>
      </c>
      <c r="C158" s="3"/>
      <c r="D158" s="3"/>
    </row>
    <row r="159">
      <c r="A159" s="3"/>
      <c r="B159" s="3"/>
      <c r="C159" s="3"/>
      <c r="D159" s="3"/>
    </row>
    <row r="160">
      <c r="A160" s="3"/>
      <c r="B160" s="4" t="s">
        <v>134</v>
      </c>
      <c r="C160" s="4">
        <f>SUM(C161:C194)</f>
        <v>9.0</v>
      </c>
      <c r="D160" s="4">
        <f>SUM(D161:D184)</f>
        <v>60.0</v>
      </c>
    </row>
    <row r="161" collapsed="1">
      <c r="A161" s="3" t="s">
        <v>135</v>
      </c>
      <c r="B161" s="3" t="s">
        <v>136</v>
      </c>
      <c r="C161" s="3">
        <v>1.0</v>
      </c>
      <c r="D161" s="3">
        <v>5.0</v>
      </c>
    </row>
    <row r="162" hidden="1" outlineLevel="1">
      <c r="A162" s="3"/>
      <c r="B162" s="9" t="s">
        <v>137</v>
      </c>
      <c r="C162" s="3"/>
      <c r="D162" s="3"/>
    </row>
    <row r="163" hidden="1" outlineLevel="1">
      <c r="A163" s="3"/>
      <c r="B163" s="9" t="s">
        <v>138</v>
      </c>
      <c r="C163" s="3"/>
      <c r="D163" s="3"/>
    </row>
    <row r="164" hidden="1" outlineLevel="1">
      <c r="A164" s="3"/>
      <c r="B164" s="9" t="s">
        <v>139</v>
      </c>
      <c r="C164" s="3"/>
      <c r="D164" s="3"/>
    </row>
    <row r="165" hidden="1" outlineLevel="1">
      <c r="A165" s="3"/>
      <c r="B165" s="9" t="s">
        <v>140</v>
      </c>
      <c r="C165" s="3"/>
      <c r="D165" s="3"/>
    </row>
    <row r="166" hidden="1" outlineLevel="1">
      <c r="A166" s="3"/>
      <c r="B166" s="9" t="s">
        <v>141</v>
      </c>
      <c r="C166" s="3"/>
      <c r="D166" s="3"/>
    </row>
    <row r="167" collapsed="1">
      <c r="A167" s="3" t="s">
        <v>142</v>
      </c>
      <c r="B167" s="3" t="s">
        <v>143</v>
      </c>
      <c r="C167" s="3">
        <v>2.0</v>
      </c>
      <c r="D167" s="3">
        <v>5.0</v>
      </c>
    </row>
    <row r="168" hidden="1" outlineLevel="1">
      <c r="A168" s="3"/>
      <c r="B168" s="9" t="s">
        <v>144</v>
      </c>
      <c r="C168" s="3"/>
      <c r="D168" s="3"/>
    </row>
    <row r="169" hidden="1" outlineLevel="1">
      <c r="A169" s="3"/>
      <c r="B169" s="9" t="s">
        <v>138</v>
      </c>
      <c r="C169" s="3"/>
      <c r="D169" s="3"/>
    </row>
    <row r="170" hidden="1" outlineLevel="1">
      <c r="A170" s="3"/>
      <c r="B170" s="9" t="s">
        <v>139</v>
      </c>
      <c r="C170" s="3"/>
      <c r="D170" s="3"/>
    </row>
    <row r="171" hidden="1" outlineLevel="1">
      <c r="A171" s="3"/>
      <c r="B171" s="9" t="s">
        <v>140</v>
      </c>
      <c r="C171" s="3"/>
      <c r="D171" s="3"/>
    </row>
    <row r="172" hidden="1" outlineLevel="1">
      <c r="A172" s="3"/>
      <c r="B172" s="9" t="s">
        <v>141</v>
      </c>
      <c r="C172" s="3"/>
      <c r="D172" s="3"/>
    </row>
    <row r="173" collapsed="1">
      <c r="A173" s="3" t="s">
        <v>145</v>
      </c>
      <c r="B173" s="3" t="s">
        <v>146</v>
      </c>
      <c r="C173" s="3">
        <v>1.0</v>
      </c>
      <c r="D173" s="3">
        <v>10.0</v>
      </c>
    </row>
    <row r="174" hidden="1" outlineLevel="1">
      <c r="A174" s="3"/>
      <c r="B174" s="9" t="s">
        <v>147</v>
      </c>
      <c r="C174" s="3"/>
      <c r="D174" s="3"/>
    </row>
    <row r="175" hidden="1" outlineLevel="1">
      <c r="A175" s="3"/>
      <c r="B175" s="9" t="s">
        <v>148</v>
      </c>
      <c r="C175" s="3"/>
      <c r="D175" s="3"/>
    </row>
    <row r="176" hidden="1" outlineLevel="1">
      <c r="A176" s="3"/>
      <c r="B176" s="9" t="s">
        <v>149</v>
      </c>
      <c r="C176" s="3"/>
      <c r="D176" s="3"/>
    </row>
    <row r="177" hidden="1" outlineLevel="1">
      <c r="A177" s="3"/>
      <c r="B177" s="9" t="s">
        <v>150</v>
      </c>
      <c r="C177" s="3"/>
      <c r="D177" s="3"/>
    </row>
    <row r="178">
      <c r="A178" s="3" t="s">
        <v>151</v>
      </c>
      <c r="B178" s="3" t="s">
        <v>152</v>
      </c>
      <c r="C178" s="3">
        <v>1.0</v>
      </c>
      <c r="D178" s="3">
        <v>10.0</v>
      </c>
    </row>
    <row r="179" collapsed="1">
      <c r="A179" s="3" t="s">
        <v>153</v>
      </c>
      <c r="B179" s="8" t="s">
        <v>154</v>
      </c>
      <c r="C179" s="3">
        <v>1.0</v>
      </c>
      <c r="D179" s="3">
        <v>10.0</v>
      </c>
    </row>
    <row r="180" hidden="1" outlineLevel="1">
      <c r="A180" s="3"/>
      <c r="B180" s="7" t="s">
        <v>155</v>
      </c>
      <c r="C180" s="3"/>
      <c r="D180" s="3"/>
    </row>
    <row r="181" hidden="1" outlineLevel="1">
      <c r="A181" s="3"/>
      <c r="B181" s="7" t="s">
        <v>156</v>
      </c>
      <c r="C181" s="3"/>
      <c r="D181" s="3"/>
    </row>
    <row r="182" hidden="1" outlineLevel="1">
      <c r="A182" s="3"/>
      <c r="B182" s="7" t="s">
        <v>157</v>
      </c>
      <c r="C182" s="3"/>
      <c r="D182" s="3"/>
    </row>
    <row r="183" hidden="1" outlineLevel="1">
      <c r="A183" s="3"/>
      <c r="B183" s="7" t="s">
        <v>158</v>
      </c>
      <c r="C183" s="3"/>
      <c r="D183" s="3"/>
    </row>
    <row r="184" collapsed="1">
      <c r="A184" s="3" t="s">
        <v>159</v>
      </c>
      <c r="B184" s="3" t="s">
        <v>160</v>
      </c>
      <c r="C184" s="3">
        <v>2.0</v>
      </c>
      <c r="D184" s="3">
        <v>20.0</v>
      </c>
    </row>
    <row r="185" hidden="1" outlineLevel="1">
      <c r="A185" s="3"/>
      <c r="B185" s="9" t="s">
        <v>161</v>
      </c>
      <c r="C185" s="3"/>
      <c r="D185" s="3"/>
    </row>
    <row r="186" hidden="1" outlineLevel="1">
      <c r="A186" s="3"/>
      <c r="B186" s="9" t="s">
        <v>162</v>
      </c>
      <c r="C186" s="3"/>
      <c r="D186" s="3"/>
    </row>
    <row r="187" hidden="1" outlineLevel="1">
      <c r="A187" s="3"/>
      <c r="B187" s="9" t="s">
        <v>163</v>
      </c>
      <c r="C187" s="3"/>
      <c r="D187" s="3"/>
    </row>
    <row r="188" hidden="1" outlineLevel="1">
      <c r="A188" s="3"/>
      <c r="B188" s="9" t="s">
        <v>164</v>
      </c>
      <c r="C188" s="3"/>
      <c r="D188" s="3"/>
    </row>
    <row r="189" hidden="1" outlineLevel="1">
      <c r="A189" s="3"/>
      <c r="B189" s="9" t="s">
        <v>165</v>
      </c>
      <c r="C189" s="3"/>
      <c r="D189" s="3"/>
    </row>
    <row r="190" hidden="1" outlineLevel="1">
      <c r="A190" s="3"/>
      <c r="B190" s="9" t="s">
        <v>166</v>
      </c>
      <c r="C190" s="3"/>
      <c r="D190" s="3"/>
    </row>
    <row r="191" hidden="1" outlineLevel="1">
      <c r="A191" s="3"/>
      <c r="B191" s="9" t="s">
        <v>167</v>
      </c>
      <c r="C191" s="3"/>
      <c r="D191" s="3"/>
    </row>
    <row r="192" hidden="1" outlineLevel="1">
      <c r="A192" s="3"/>
      <c r="B192" s="9" t="s">
        <v>168</v>
      </c>
      <c r="C192" s="3"/>
      <c r="D192" s="3"/>
    </row>
    <row r="193" hidden="1" outlineLevel="1">
      <c r="A193" s="3"/>
      <c r="B193" s="9" t="s">
        <v>169</v>
      </c>
      <c r="C193" s="3"/>
      <c r="D193" s="3"/>
    </row>
    <row r="194" collapsed="1">
      <c r="A194" s="3" t="s">
        <v>349</v>
      </c>
      <c r="B194" s="13" t="s">
        <v>350</v>
      </c>
      <c r="C194" s="3">
        <v>1.0</v>
      </c>
      <c r="D194" s="3">
        <v>20.0</v>
      </c>
    </row>
    <row r="195" hidden="1" outlineLevel="1">
      <c r="A195" s="3"/>
      <c r="B195" s="9" t="s">
        <v>351</v>
      </c>
      <c r="C195" s="3"/>
      <c r="D195" s="3"/>
    </row>
    <row r="196" hidden="1" outlineLevel="1">
      <c r="A196" s="3"/>
      <c r="B196" s="9" t="s">
        <v>352</v>
      </c>
      <c r="C196" s="3"/>
      <c r="D196" s="3"/>
    </row>
    <row r="197">
      <c r="A197" s="4" t="s">
        <v>170</v>
      </c>
      <c r="B197" s="4"/>
      <c r="C197" s="4">
        <f>C97+C122+C160+C2+C13+C22</f>
        <v>80.0</v>
      </c>
      <c r="D197" s="4">
        <f>D22+D13+D2+D97+D122+D160</f>
        <v>660.0</v>
      </c>
    </row>
  </sheetData>
  <hyperlinks>
    <hyperlink ref="B25" r:id="rId1" display="Platform Development Basics"/>
    <hyperlink ref="B24" r:id="rId2" display="Salesforce Platform Basics"/>
    <hyperlink ref="B27" r:id="rId3" display="Leads &amp; Opportunities"/>
    <hyperlink ref="B28" r:id="rId4" display="Accounts &amp; Contacts"/>
    <hyperlink ref="B29" r:id="rId5" display="Campaign Basics "/>
    <hyperlink ref="B34" r:id="rId6" display="Data Modeling"/>
    <hyperlink ref="B38" r:id="rId7" display="Customize a Salesforce Object"/>
    <hyperlink ref="B41" r:id="rId8" display="Reports &amp; Dashboards"/>
    <hyperlink ref="B48" r:id="rId9" display="Developer Console Basics [85 мин]"/>
    <hyperlink ref="B55" r:id="rId10" display="Data Security"/>
    <hyperlink ref="B59" r:id="rId11" display="Lightning Flow"/>
    <hyperlink ref="B63" r:id="rId12" display="Data Management"/>
    <hyperlink ref="B66" r:id="rId13" display="Visualforce Basics"/>
    <hyperlink ref="B70" r:id="rId14" display="Apex Basics &amp; Database"/>
    <hyperlink ref="B74" r:id="rId15" display="Apex Triggers"/>
    <hyperlink ref="B75" r:id="rId16" display="Apex Testing [45 мин]"/>
    <hyperlink ref="B80" r:id="rId17" display="Lightning Platform API Basics"/>
    <hyperlink ref="B86" r:id="rId18" display="Asynchronous Apex"/>
    <hyperlink ref="B91" r:id="rId19" display="Apex Integration Services"/>
    <hyperlink ref="B92" r:id="rId20" display="Application Lifecycle Management Model [155 мин]"/>
    <hyperlink ref="B94" r:id="rId21" display="Aura Components Basics [240 мин]"/>
    <hyperlink ref="B95" r:id="rId22" display="Understand Execution Context [20 мин]"/>
    <hyperlink ref="B57" r:id="rId23" display="Formulas &amp; Validations [45 мин]"/>
    <hyperlink ref="B64" r:id="rId24" display="Data Quality"/>
    <hyperlink ref="B93" r:id="rId25" display="Разрешение доступов из кода к внешним сайтам [70 мин]"/>
  </hyperlinks>
  <printOptions/>
  <pageMargins left="0.6740767578124998" right="0.6740767578124998" top="0.7222250976562498" bottom="0.7222250976562498" footer="0.2888900390625" header="0.2888900390625"/>
  <pageSetup paperSize="9" orientation="portrait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outlinePr/>
    <pageSetUpPr/>
  </sheetPr>
  <dimension ref="A1:D137"/>
  <sheetViews>
    <sheetView topLeftCell="A82" workbookViewId="0" zoomScale="150" zoomScaleNormal="150" zoomScaleSheetLayoutView="60">
      <selection activeCell="A8" sqref="A8"/>
    </sheetView>
  </sheetViews>
  <sheetFormatPr defaultRowHeight="15.0" outlineLevelRow="1"/>
  <cols>
    <col min="1" max="1" width="6.251953125" bestFit="1" customWidth="1"/>
    <col min="2" max="2" width="65.251953125" customWidth="1"/>
  </cols>
  <sheetData>
    <row r="1" ht="45.0">
      <c r="A1" s="1" t="s">
        <v>0</v>
      </c>
      <c r="B1" s="1" t="s">
        <v>1</v>
      </c>
      <c r="C1" s="1" t="s">
        <v>2</v>
      </c>
      <c r="D1" s="2" t="s">
        <v>3</v>
      </c>
    </row>
    <row r="2">
      <c r="A2" s="3"/>
      <c r="B2" s="4" t="s">
        <v>855</v>
      </c>
      <c r="C2" s="4">
        <f>SUM(C3:C8)</f>
        <v>7.0</v>
      </c>
      <c r="D2" s="4">
        <f>SUM(D3:D8)</f>
        <v>60.0</v>
      </c>
    </row>
    <row r="3">
      <c r="A3" s="3" t="s">
        <v>5</v>
      </c>
      <c r="B3" s="3" t="s">
        <v>856</v>
      </c>
      <c r="C3" s="3">
        <v>2.0</v>
      </c>
      <c r="D3" s="3">
        <v>10.0</v>
      </c>
    </row>
    <row r="4" collapsed="1">
      <c r="A4" s="3" t="s">
        <v>7</v>
      </c>
      <c r="B4" s="10" t="s">
        <v>8</v>
      </c>
      <c r="C4" s="3">
        <v>3.0</v>
      </c>
      <c r="D4" s="6">
        <v>30.0</v>
      </c>
    </row>
    <row r="5" outlineLevel="1">
      <c r="A5" s="3"/>
      <c r="B5" s="7" t="s">
        <v>9</v>
      </c>
      <c r="C5" s="3"/>
      <c r="D5" s="6"/>
    </row>
    <row r="6" outlineLevel="1">
      <c r="A6" s="3"/>
      <c r="B6" s="7" t="s">
        <v>10</v>
      </c>
      <c r="C6" s="3"/>
      <c r="D6" s="6"/>
    </row>
    <row r="7" outlineLevel="1">
      <c r="A7" s="3"/>
      <c r="B7" s="7" t="s">
        <v>11</v>
      </c>
      <c r="C7" s="3"/>
      <c r="D7" s="6"/>
    </row>
    <row r="8" collapsed="1">
      <c r="A8" s="3" t="s">
        <v>12</v>
      </c>
      <c r="B8" s="10" t="s">
        <v>857</v>
      </c>
      <c r="C8" s="3">
        <v>2.0</v>
      </c>
      <c r="D8" s="3">
        <v>20.0</v>
      </c>
    </row>
    <row r="9">
      <c r="A9" s="3"/>
      <c r="B9" s="3"/>
      <c r="C9" s="3"/>
      <c r="D9" s="3"/>
    </row>
    <row r="10">
      <c r="A10" s="3"/>
      <c r="B10" s="4" t="s">
        <v>858</v>
      </c>
      <c r="C10" s="4">
        <f>SUM(C11:C16)</f>
        <v>6.0</v>
      </c>
      <c r="D10" s="4">
        <f>SUM(D11:D16)</f>
        <v>90.0</v>
      </c>
    </row>
    <row r="11" collapsed="1">
      <c r="A11" s="3" t="s">
        <v>18</v>
      </c>
      <c r="B11" s="10" t="s">
        <v>859</v>
      </c>
      <c r="C11" s="3">
        <v>3.0</v>
      </c>
      <c r="D11" s="3">
        <v>40.0</v>
      </c>
    </row>
    <row r="12" hidden="1" outlineLevel="1">
      <c r="A12" s="3"/>
      <c r="B12" s="7" t="s">
        <v>860</v>
      </c>
      <c r="C12" s="3"/>
      <c r="D12" s="3"/>
    </row>
    <row r="13" hidden="1" outlineLevel="1">
      <c r="A13" s="3"/>
      <c r="B13" s="7" t="s">
        <v>72</v>
      </c>
      <c r="C13" s="3"/>
      <c r="D13" s="3"/>
    </row>
    <row r="14" hidden="1" outlineLevel="1">
      <c r="A14" s="3"/>
      <c r="B14" s="7" t="s">
        <v>861</v>
      </c>
      <c r="C14" s="3"/>
      <c r="D14" s="3"/>
    </row>
    <row r="15" hidden="1" outlineLevel="1">
      <c r="A15" s="3"/>
      <c r="B15" s="7" t="s">
        <v>862</v>
      </c>
      <c r="C15" s="3"/>
      <c r="D15" s="3"/>
    </row>
    <row r="16" collapsed="1">
      <c r="A16" s="3" t="s">
        <v>25</v>
      </c>
      <c r="B16" s="10" t="s">
        <v>863</v>
      </c>
      <c r="C16" s="3">
        <v>3.0</v>
      </c>
      <c r="D16" s="3">
        <v>50.0</v>
      </c>
    </row>
    <row r="17" hidden="1" outlineLevel="1">
      <c r="A17" s="3"/>
      <c r="B17" s="50" t="s">
        <v>864</v>
      </c>
      <c r="C17" s="3"/>
      <c r="D17" s="3"/>
    </row>
    <row r="18" hidden="1" outlineLevel="1">
      <c r="A18" s="3"/>
      <c r="B18" s="50" t="s">
        <v>865</v>
      </c>
      <c r="C18" s="3"/>
      <c r="D18" s="3"/>
    </row>
    <row r="19" hidden="1" outlineLevel="1">
      <c r="A19" s="3"/>
      <c r="B19" s="50" t="s">
        <v>866</v>
      </c>
      <c r="C19" s="3"/>
      <c r="D19" s="3"/>
    </row>
    <row r="20">
      <c r="A20" s="3"/>
      <c r="B20" s="50"/>
      <c r="C20" s="3"/>
      <c r="D20" s="3"/>
    </row>
    <row r="21">
      <c r="A21" s="3"/>
      <c r="B21" s="57" t="s">
        <v>867</v>
      </c>
      <c r="C21" s="60">
        <f>SUM(C22:C64)</f>
        <v>39.0</v>
      </c>
      <c r="D21" s="4">
        <f>SUM(D22:D64)</f>
        <v>360.0</v>
      </c>
    </row>
    <row r="22" collapsed="1">
      <c r="A22" s="3" t="s">
        <v>868</v>
      </c>
      <c r="B22" s="58" t="s">
        <v>869</v>
      </c>
      <c r="C22" s="3">
        <v>3.0</v>
      </c>
      <c r="D22" s="3">
        <v>20.0</v>
      </c>
    </row>
    <row r="23" outlineLevel="1">
      <c r="A23" s="3"/>
      <c r="B23" s="50" t="s">
        <v>870</v>
      </c>
      <c r="C23" s="3"/>
      <c r="D23" s="3"/>
    </row>
    <row r="24" outlineLevel="1">
      <c r="A24" s="3"/>
      <c r="B24" s="50" t="s">
        <v>871</v>
      </c>
      <c r="C24" s="3"/>
      <c r="D24" s="3"/>
    </row>
    <row r="25" outlineLevel="1">
      <c r="A25" s="3"/>
      <c r="B25" s="50" t="s">
        <v>872</v>
      </c>
      <c r="C25" s="3"/>
      <c r="D25" s="3"/>
    </row>
    <row r="26" collapsed="1">
      <c r="A26" s="3" t="s">
        <v>873</v>
      </c>
      <c r="B26" s="59" t="s">
        <v>874</v>
      </c>
      <c r="C26" s="3">
        <v>3.0</v>
      </c>
      <c r="D26" s="3">
        <v>30.0</v>
      </c>
    </row>
    <row r="27" outlineLevel="1">
      <c r="A27" s="3"/>
      <c r="B27" s="50" t="s">
        <v>875</v>
      </c>
      <c r="C27" s="3"/>
      <c r="D27" s="3"/>
    </row>
    <row r="28" outlineLevel="1">
      <c r="A28" s="3"/>
      <c r="B28" s="50" t="s">
        <v>876</v>
      </c>
      <c r="C28" s="3"/>
      <c r="D28" s="3"/>
    </row>
    <row r="29" outlineLevel="1">
      <c r="A29" s="3"/>
      <c r="B29" s="50" t="s">
        <v>877</v>
      </c>
      <c r="C29" s="3"/>
      <c r="D29" s="3"/>
    </row>
    <row r="30" collapsed="1">
      <c r="A30" s="3" t="s">
        <v>878</v>
      </c>
      <c r="B30" s="59" t="s">
        <v>879</v>
      </c>
      <c r="C30" s="3">
        <v>3.0</v>
      </c>
      <c r="D30" s="3">
        <v>40.0</v>
      </c>
    </row>
    <row r="31" outlineLevel="1">
      <c r="A31" s="3"/>
      <c r="B31" s="50" t="s">
        <v>880</v>
      </c>
      <c r="C31" s="3"/>
      <c r="D31" s="3"/>
    </row>
    <row r="32" outlineLevel="1">
      <c r="A32" s="3"/>
      <c r="B32" s="50" t="s">
        <v>881</v>
      </c>
      <c r="C32" s="3"/>
      <c r="D32" s="3"/>
    </row>
    <row r="33" collapsed="1">
      <c r="A33" s="3" t="s">
        <v>882</v>
      </c>
      <c r="B33" s="59" t="s">
        <v>883</v>
      </c>
      <c r="C33" s="3">
        <v>3.0</v>
      </c>
      <c r="D33" s="3">
        <v>20.0</v>
      </c>
    </row>
    <row r="34" outlineLevel="1">
      <c r="A34" s="3"/>
      <c r="B34" s="50" t="s">
        <v>326</v>
      </c>
      <c r="C34" s="3"/>
      <c r="D34" s="3"/>
    </row>
    <row r="35" outlineLevel="1">
      <c r="A35" s="3"/>
      <c r="B35" s="50" t="s">
        <v>327</v>
      </c>
      <c r="C35" s="3"/>
      <c r="D35" s="3"/>
    </row>
    <row r="36" collapsed="1">
      <c r="A36" s="3" t="s">
        <v>884</v>
      </c>
      <c r="B36" s="59" t="s">
        <v>350</v>
      </c>
      <c r="C36" s="3">
        <v>3.0</v>
      </c>
      <c r="D36" s="3">
        <v>30.0</v>
      </c>
    </row>
    <row r="37" outlineLevel="1">
      <c r="A37" s="3"/>
      <c r="B37" s="50" t="s">
        <v>885</v>
      </c>
      <c r="C37" s="3"/>
      <c r="D37" s="3"/>
    </row>
    <row r="38" outlineLevel="1">
      <c r="A38" s="3"/>
      <c r="B38" s="50" t="s">
        <v>351</v>
      </c>
      <c r="C38" s="3"/>
      <c r="D38" s="3"/>
    </row>
    <row r="39" collapsed="1">
      <c r="A39" s="3" t="s">
        <v>886</v>
      </c>
      <c r="B39" s="56" t="s">
        <v>887</v>
      </c>
      <c r="C39" s="3">
        <v>3.0</v>
      </c>
      <c r="D39" s="3">
        <v>30.0</v>
      </c>
    </row>
    <row r="40" outlineLevel="1">
      <c r="A40" s="3"/>
      <c r="B40" s="50" t="s">
        <v>888</v>
      </c>
      <c r="C40" s="3"/>
      <c r="D40" s="3"/>
    </row>
    <row r="41" outlineLevel="1">
      <c r="A41" s="3"/>
      <c r="B41" s="50" t="s">
        <v>889</v>
      </c>
      <c r="C41" s="3"/>
      <c r="D41" s="3"/>
    </row>
    <row r="42" outlineLevel="1">
      <c r="A42" s="3"/>
      <c r="B42" s="50" t="s">
        <v>890</v>
      </c>
      <c r="C42" s="3"/>
      <c r="D42" s="3"/>
    </row>
    <row r="43" collapsed="1">
      <c r="A43" s="3" t="s">
        <v>891</v>
      </c>
      <c r="B43" s="56" t="s">
        <v>892</v>
      </c>
      <c r="C43" s="3">
        <v>3.0</v>
      </c>
      <c r="D43" s="3">
        <v>20.0</v>
      </c>
    </row>
    <row r="44" outlineLevel="1">
      <c r="A44" s="3"/>
      <c r="B44" s="50" t="s">
        <v>893</v>
      </c>
      <c r="C44" s="3"/>
      <c r="D44" s="3"/>
    </row>
    <row r="45" outlineLevel="1">
      <c r="A45" s="3"/>
      <c r="B45" s="50" t="s">
        <v>894</v>
      </c>
      <c r="C45" s="3"/>
      <c r="D45" s="3"/>
    </row>
    <row r="46" outlineLevel="1">
      <c r="A46" s="3"/>
      <c r="B46" s="50" t="s">
        <v>895</v>
      </c>
      <c r="C46" s="3"/>
      <c r="D46" s="3"/>
    </row>
    <row r="47" outlineLevel="1">
      <c r="A47" s="3"/>
      <c r="B47" s="50" t="s">
        <v>896</v>
      </c>
      <c r="C47" s="3"/>
      <c r="D47" s="3"/>
    </row>
    <row r="48" outlineLevel="1">
      <c r="A48" s="3"/>
      <c r="B48" s="50" t="s">
        <v>897</v>
      </c>
      <c r="C48" s="3"/>
      <c r="D48" s="3"/>
    </row>
    <row r="49" collapsed="1">
      <c r="A49" s="3" t="s">
        <v>898</v>
      </c>
      <c r="B49" s="56" t="s">
        <v>899</v>
      </c>
      <c r="C49" s="3">
        <v>3.0</v>
      </c>
      <c r="D49" s="3">
        <v>20.0</v>
      </c>
    </row>
    <row r="50" outlineLevel="1">
      <c r="A50" s="3"/>
      <c r="B50" s="50" t="s">
        <v>900</v>
      </c>
      <c r="C50" s="3"/>
      <c r="D50" s="3"/>
    </row>
    <row r="51" outlineLevel="1">
      <c r="A51" s="3"/>
      <c r="B51" s="50" t="s">
        <v>901</v>
      </c>
      <c r="C51" s="3"/>
      <c r="D51" s="3"/>
    </row>
    <row r="52" collapsed="1">
      <c r="A52" s="3" t="s">
        <v>902</v>
      </c>
      <c r="B52" s="56" t="s">
        <v>903</v>
      </c>
      <c r="C52" s="3">
        <v>3.0</v>
      </c>
      <c r="D52" s="3">
        <v>20.0</v>
      </c>
    </row>
    <row r="53" outlineLevel="1">
      <c r="A53" s="3"/>
      <c r="B53" s="50" t="s">
        <v>904</v>
      </c>
      <c r="C53" s="3"/>
      <c r="D53" s="3"/>
    </row>
    <row r="54" outlineLevel="1">
      <c r="A54" s="3"/>
      <c r="B54" s="50" t="s">
        <v>905</v>
      </c>
      <c r="C54" s="3"/>
      <c r="D54" s="3"/>
    </row>
    <row r="55" collapsed="1">
      <c r="A55" s="3" t="s">
        <v>906</v>
      </c>
      <c r="B55" s="56" t="s">
        <v>907</v>
      </c>
      <c r="C55" s="3">
        <v>3.0</v>
      </c>
      <c r="D55" s="3">
        <v>40.0</v>
      </c>
    </row>
    <row r="56" hidden="1" outlineLevel="1">
      <c r="A56" s="3"/>
      <c r="B56" s="50" t="s">
        <v>908</v>
      </c>
      <c r="C56" s="3"/>
      <c r="D56" s="3"/>
    </row>
    <row r="57" hidden="1" outlineLevel="1">
      <c r="A57" s="3"/>
      <c r="B57" s="50" t="s">
        <v>909</v>
      </c>
      <c r="C57" s="3"/>
      <c r="D57" s="3"/>
    </row>
    <row r="58" hidden="1" outlineLevel="1">
      <c r="A58" s="3"/>
      <c r="B58" s="50" t="s">
        <v>910</v>
      </c>
      <c r="C58" s="3"/>
      <c r="D58" s="3"/>
    </row>
    <row r="59">
      <c r="A59" s="3" t="s">
        <v>911</v>
      </c>
      <c r="B59" s="56" t="s">
        <v>912</v>
      </c>
      <c r="C59" s="3">
        <v>3.0</v>
      </c>
      <c r="D59" s="3">
        <v>40.0</v>
      </c>
    </row>
    <row r="60" collapsed="1">
      <c r="A60" s="3" t="s">
        <v>913</v>
      </c>
      <c r="B60" s="56" t="s">
        <v>914</v>
      </c>
      <c r="C60" s="3">
        <v>3.0</v>
      </c>
      <c r="D60" s="3">
        <v>30.0</v>
      </c>
    </row>
    <row r="61" hidden="1" outlineLevel="1">
      <c r="A61" s="3"/>
      <c r="B61" s="50" t="s">
        <v>915</v>
      </c>
      <c r="C61" s="3"/>
      <c r="D61" s="3"/>
    </row>
    <row r="62" hidden="1" outlineLevel="1">
      <c r="A62" s="3"/>
      <c r="B62" s="50" t="s">
        <v>916</v>
      </c>
      <c r="C62" s="3"/>
      <c r="D62" s="3"/>
    </row>
    <row r="63" hidden="1" outlineLevel="1">
      <c r="A63" s="3"/>
      <c r="B63" s="50" t="s">
        <v>917</v>
      </c>
      <c r="C63" s="3"/>
      <c r="D63" s="3"/>
    </row>
    <row r="64" collapsed="1">
      <c r="A64" s="3" t="s">
        <v>918</v>
      </c>
      <c r="B64" s="59" t="s">
        <v>919</v>
      </c>
      <c r="C64" s="3">
        <v>3.0</v>
      </c>
      <c r="D64" s="3">
        <v>20.0</v>
      </c>
    </row>
    <row r="65" hidden="1" outlineLevel="1">
      <c r="A65" s="3"/>
      <c r="B65" s="9" t="s">
        <v>920</v>
      </c>
      <c r="C65" s="3"/>
      <c r="D65" s="3"/>
    </row>
    <row r="66" hidden="1" outlineLevel="1">
      <c r="A66" s="3"/>
      <c r="B66" s="9" t="s">
        <v>921</v>
      </c>
      <c r="C66" s="3"/>
      <c r="D66" s="3"/>
    </row>
    <row r="67" hidden="1" outlineLevel="1">
      <c r="A67" s="3"/>
      <c r="B67" s="9" t="s">
        <v>922</v>
      </c>
      <c r="C67" s="3"/>
      <c r="D67" s="3"/>
    </row>
    <row r="68" hidden="1" outlineLevel="1">
      <c r="A68" s="3"/>
      <c r="B68" s="9" t="s">
        <v>923</v>
      </c>
      <c r="C68" s="3"/>
      <c r="D68" s="3"/>
    </row>
    <row r="69" hidden="1" outlineLevel="1">
      <c r="A69" s="3"/>
      <c r="B69" s="9" t="s">
        <v>924</v>
      </c>
      <c r="C69" s="3"/>
      <c r="D69" s="3"/>
    </row>
    <row r="70" hidden="1" outlineLevel="1">
      <c r="A70" s="3"/>
      <c r="B70" s="9" t="s">
        <v>925</v>
      </c>
      <c r="C70" s="3"/>
      <c r="D70" s="3"/>
    </row>
    <row r="71" hidden="1" outlineLevel="1">
      <c r="A71" s="3"/>
      <c r="B71" s="9" t="s">
        <v>926</v>
      </c>
      <c r="C71" s="3"/>
      <c r="D71" s="3"/>
    </row>
    <row r="72" hidden="1" outlineLevel="1">
      <c r="A72" s="3"/>
      <c r="B72" s="9" t="s">
        <v>927</v>
      </c>
      <c r="C72" s="3"/>
      <c r="D72" s="3"/>
    </row>
    <row r="73" hidden="1" outlineLevel="1">
      <c r="A73" s="3"/>
      <c r="B73" s="9" t="s">
        <v>928</v>
      </c>
      <c r="C73" s="3"/>
      <c r="D73" s="3"/>
    </row>
    <row r="74">
      <c r="A74" s="3"/>
      <c r="B74" s="3"/>
      <c r="C74" s="3"/>
      <c r="D74" s="3"/>
    </row>
    <row r="75">
      <c r="A75" s="3"/>
      <c r="B75" s="4" t="s">
        <v>929</v>
      </c>
      <c r="C75" s="4">
        <f>SUM(C76:C109)</f>
        <v>19.0</v>
      </c>
      <c r="D75" s="4">
        <f>SUM(D76:D109)</f>
        <v>90.0</v>
      </c>
    </row>
    <row r="76" collapsed="1">
      <c r="A76" s="3" t="s">
        <v>930</v>
      </c>
      <c r="B76" s="3" t="s">
        <v>19</v>
      </c>
      <c r="C76" s="3">
        <v>3.0</v>
      </c>
      <c r="D76" s="3">
        <v>20.0</v>
      </c>
    </row>
    <row r="77" outlineLevel="1">
      <c r="A77" s="3"/>
      <c r="B77" s="9" t="s">
        <v>931</v>
      </c>
      <c r="C77" s="3"/>
      <c r="D77" s="3"/>
    </row>
    <row r="78" outlineLevel="1">
      <c r="A78" s="3"/>
      <c r="B78" s="9" t="s">
        <v>932</v>
      </c>
      <c r="C78" s="3"/>
      <c r="D78" s="3"/>
    </row>
    <row r="79" outlineLevel="1">
      <c r="A79" s="3"/>
      <c r="B79" s="9" t="s">
        <v>933</v>
      </c>
      <c r="C79" s="3"/>
      <c r="D79" s="3"/>
    </row>
    <row r="80" outlineLevel="1">
      <c r="A80" s="3"/>
      <c r="B80" s="50" t="s">
        <v>670</v>
      </c>
      <c r="C80" s="3"/>
      <c r="D80" s="3"/>
    </row>
    <row r="81" collapsed="1">
      <c r="A81" s="3" t="s">
        <v>934</v>
      </c>
      <c r="B81" s="3" t="s">
        <v>675</v>
      </c>
      <c r="C81" s="3">
        <v>3.0</v>
      </c>
      <c r="D81" s="3">
        <v>10.0</v>
      </c>
    </row>
    <row r="82" outlineLevel="1">
      <c r="A82" s="3"/>
      <c r="B82" s="9" t="s">
        <v>676</v>
      </c>
      <c r="C82" s="3"/>
      <c r="D82" s="3"/>
    </row>
    <row r="83" outlineLevel="1">
      <c r="A83" s="3"/>
      <c r="B83" s="9" t="s">
        <v>677</v>
      </c>
      <c r="C83" s="3"/>
      <c r="D83" s="3"/>
    </row>
    <row r="84" collapsed="1">
      <c r="A84" s="3" t="s">
        <v>935</v>
      </c>
      <c r="B84" s="13" t="s">
        <v>601</v>
      </c>
      <c r="C84" s="3">
        <v>2.0</v>
      </c>
      <c r="D84" s="3">
        <v>10.0</v>
      </c>
    </row>
    <row r="85" outlineLevel="1">
      <c r="A85" s="3"/>
      <c r="B85" s="9" t="s">
        <v>936</v>
      </c>
      <c r="C85" s="3"/>
      <c r="D85" s="3"/>
    </row>
    <row r="86" outlineLevel="1">
      <c r="A86" s="3"/>
      <c r="B86" s="9" t="s">
        <v>937</v>
      </c>
      <c r="C86" s="3"/>
      <c r="D86" s="3"/>
    </row>
    <row r="87" collapsed="1">
      <c r="A87" s="3" t="s">
        <v>938</v>
      </c>
      <c r="B87" s="3" t="s">
        <v>698</v>
      </c>
      <c r="C87" s="3">
        <v>3.0</v>
      </c>
      <c r="D87" s="3">
        <v>10.0</v>
      </c>
    </row>
    <row r="88" outlineLevel="1">
      <c r="A88" s="3"/>
      <c r="B88" s="9" t="s">
        <v>699</v>
      </c>
      <c r="C88" s="3"/>
      <c r="D88" s="3"/>
    </row>
    <row r="89" outlineLevel="1">
      <c r="A89" s="3"/>
      <c r="B89" s="9" t="s">
        <v>700</v>
      </c>
      <c r="C89" s="3"/>
      <c r="D89" s="3"/>
    </row>
    <row r="90" outlineLevel="1">
      <c r="A90" s="3"/>
      <c r="B90" s="9" t="s">
        <v>701</v>
      </c>
      <c r="C90" s="3"/>
      <c r="D90" s="3"/>
    </row>
    <row r="91" collapsed="1">
      <c r="A91" s="3" t="s">
        <v>939</v>
      </c>
      <c r="B91" s="3" t="s">
        <v>725</v>
      </c>
      <c r="C91" s="3">
        <v>2.0</v>
      </c>
      <c r="D91" s="3">
        <v>10.0</v>
      </c>
    </row>
    <row r="92" hidden="1" outlineLevel="1">
      <c r="A92" s="3"/>
      <c r="B92" s="9" t="s">
        <v>726</v>
      </c>
      <c r="C92" s="3"/>
      <c r="D92" s="3"/>
    </row>
    <row r="93" hidden="1" outlineLevel="1">
      <c r="A93" s="3"/>
      <c r="B93" s="9" t="s">
        <v>727</v>
      </c>
      <c r="C93" s="3"/>
      <c r="D93" s="3"/>
    </row>
    <row r="94" collapsed="1">
      <c r="A94" s="3" t="s">
        <v>940</v>
      </c>
      <c r="B94" s="3" t="s">
        <v>941</v>
      </c>
      <c r="C94" s="3">
        <v>2.0</v>
      </c>
      <c r="D94" s="3">
        <v>10.0</v>
      </c>
    </row>
    <row r="95" hidden="1" outlineLevel="1">
      <c r="A95" s="3"/>
      <c r="B95" s="9" t="s">
        <v>942</v>
      </c>
      <c r="C95" s="3"/>
      <c r="D95" s="3"/>
    </row>
    <row r="96" hidden="1" outlineLevel="1">
      <c r="A96" s="3"/>
      <c r="B96" s="9" t="s">
        <v>943</v>
      </c>
      <c r="C96" s="3"/>
      <c r="D96" s="3"/>
    </row>
    <row r="97" hidden="1" outlineLevel="1">
      <c r="A97" s="3"/>
      <c r="B97" s="9" t="s">
        <v>944</v>
      </c>
      <c r="C97" s="3"/>
      <c r="D97" s="3"/>
    </row>
    <row r="98" hidden="1" outlineLevel="1">
      <c r="A98" s="3"/>
      <c r="B98" s="9" t="s">
        <v>945</v>
      </c>
      <c r="C98" s="3"/>
      <c r="D98" s="3"/>
    </row>
    <row r="99" collapsed="1">
      <c r="A99" s="3" t="s">
        <v>946</v>
      </c>
      <c r="B99" s="3" t="s">
        <v>947</v>
      </c>
      <c r="C99" s="3">
        <v>2.0</v>
      </c>
      <c r="D99" s="3">
        <v>10.0</v>
      </c>
    </row>
    <row r="100" hidden="1" outlineLevel="1">
      <c r="A100" s="3"/>
      <c r="B100" s="9" t="s">
        <v>948</v>
      </c>
      <c r="C100" s="3"/>
      <c r="D100" s="3"/>
    </row>
    <row r="101" hidden="1" outlineLevel="1">
      <c r="A101" s="3"/>
      <c r="B101" s="9" t="s">
        <v>949</v>
      </c>
      <c r="C101" s="3"/>
      <c r="D101" s="3"/>
    </row>
    <row r="102" hidden="1" outlineLevel="1">
      <c r="A102" s="3"/>
      <c r="B102" s="9" t="s">
        <v>950</v>
      </c>
      <c r="C102" s="3"/>
      <c r="D102" s="3"/>
    </row>
    <row r="103" hidden="1" outlineLevel="1">
      <c r="A103" s="3"/>
      <c r="B103" s="9" t="s">
        <v>951</v>
      </c>
      <c r="C103" s="3"/>
      <c r="D103" s="3"/>
    </row>
    <row r="104" hidden="1" outlineLevel="1">
      <c r="A104" s="3"/>
      <c r="B104" s="9" t="s">
        <v>952</v>
      </c>
      <c r="C104" s="3"/>
      <c r="D104" s="3"/>
    </row>
    <row r="105" hidden="1" outlineLevel="1">
      <c r="A105" s="3"/>
      <c r="B105" s="9" t="s">
        <v>953</v>
      </c>
      <c r="C105" s="3"/>
      <c r="D105" s="3"/>
    </row>
    <row r="106" collapsed="1">
      <c r="A106" s="3" t="s">
        <v>954</v>
      </c>
      <c r="B106" s="3" t="s">
        <v>955</v>
      </c>
      <c r="C106" s="3">
        <v>1.0</v>
      </c>
      <c r="D106" s="3">
        <v>5.0</v>
      </c>
    </row>
    <row r="107" hidden="1" outlineLevel="1">
      <c r="A107" s="3"/>
      <c r="B107" s="9" t="s">
        <v>956</v>
      </c>
      <c r="C107" s="3"/>
      <c r="D107" s="3"/>
    </row>
    <row r="108" hidden="1" outlineLevel="1">
      <c r="A108" s="3"/>
      <c r="B108" s="9" t="s">
        <v>957</v>
      </c>
      <c r="C108" s="3"/>
      <c r="D108" s="3"/>
    </row>
    <row r="109" collapsed="1">
      <c r="A109" s="3" t="s">
        <v>958</v>
      </c>
      <c r="B109" s="3" t="s">
        <v>959</v>
      </c>
      <c r="C109" s="3">
        <v>1.0</v>
      </c>
      <c r="D109" s="3">
        <v>5.0</v>
      </c>
    </row>
    <row r="110" hidden="1" outlineLevel="1">
      <c r="A110" s="3"/>
      <c r="B110" s="9" t="s">
        <v>960</v>
      </c>
      <c r="C110" s="3"/>
      <c r="D110" s="3"/>
    </row>
    <row r="111" hidden="1" outlineLevel="1">
      <c r="A111" s="3"/>
      <c r="B111" s="9" t="s">
        <v>961</v>
      </c>
      <c r="C111" s="3"/>
      <c r="D111" s="3"/>
    </row>
    <row r="112" hidden="1" outlineLevel="1">
      <c r="A112" s="3"/>
      <c r="B112" s="9" t="s">
        <v>962</v>
      </c>
      <c r="C112" s="3"/>
      <c r="D112" s="3"/>
    </row>
    <row r="113">
      <c r="A113" s="3"/>
      <c r="B113" s="3"/>
      <c r="C113" s="3"/>
      <c r="D113" s="3"/>
    </row>
    <row r="114">
      <c r="A114" s="3"/>
      <c r="B114" s="4" t="s">
        <v>963</v>
      </c>
      <c r="C114" s="4">
        <f>SUM(C115:C135)</f>
        <v>9.0</v>
      </c>
      <c r="D114" s="4">
        <f>SUM(D115:D135)</f>
        <v>60.0</v>
      </c>
    </row>
    <row r="115" collapsed="1">
      <c r="A115" s="3" t="s">
        <v>62</v>
      </c>
      <c r="B115" s="59" t="s">
        <v>964</v>
      </c>
      <c r="C115" s="3">
        <v>2.0</v>
      </c>
      <c r="D115" s="3">
        <v>20.0</v>
      </c>
    </row>
    <row r="116" hidden="1" outlineLevel="1">
      <c r="A116" s="3"/>
      <c r="B116" s="9" t="s">
        <v>63</v>
      </c>
      <c r="C116" s="3"/>
      <c r="D116" s="3"/>
    </row>
    <row r="117" hidden="1" outlineLevel="1">
      <c r="A117" s="3"/>
      <c r="B117" s="9" t="s">
        <v>65</v>
      </c>
      <c r="C117" s="3"/>
      <c r="D117" s="3"/>
    </row>
    <row r="118" hidden="1" outlineLevel="1">
      <c r="A118" s="3"/>
      <c r="B118" s="9" t="s">
        <v>965</v>
      </c>
      <c r="C118" s="3"/>
      <c r="D118" s="3"/>
    </row>
    <row r="119" hidden="1" outlineLevel="1">
      <c r="A119" s="3"/>
      <c r="B119" s="9" t="s">
        <v>72</v>
      </c>
      <c r="C119" s="3"/>
      <c r="D119" s="3"/>
    </row>
    <row r="120" hidden="1" outlineLevel="1">
      <c r="A120" s="3"/>
      <c r="B120" s="9" t="s">
        <v>966</v>
      </c>
      <c r="C120" s="3"/>
      <c r="D120" s="3"/>
    </row>
    <row r="121" collapsed="1">
      <c r="A121" s="3" t="s">
        <v>68</v>
      </c>
      <c r="B121" s="59" t="s">
        <v>967</v>
      </c>
      <c r="C121" s="3">
        <v>2.0</v>
      </c>
      <c r="D121" s="3">
        <v>15.0</v>
      </c>
    </row>
    <row r="122" hidden="1" outlineLevel="1">
      <c r="A122" s="3"/>
      <c r="B122" s="9" t="s">
        <v>80</v>
      </c>
      <c r="C122" s="3"/>
      <c r="D122" s="3"/>
    </row>
    <row r="123" hidden="1" outlineLevel="1">
      <c r="A123" s="3"/>
      <c r="B123" s="9" t="s">
        <v>81</v>
      </c>
      <c r="C123" s="3"/>
      <c r="D123" s="3"/>
    </row>
    <row r="124" hidden="1" outlineLevel="1">
      <c r="A124" s="3"/>
      <c r="B124" s="9" t="s">
        <v>84</v>
      </c>
      <c r="C124" s="3"/>
      <c r="D124" s="3"/>
    </row>
    <row r="125" hidden="1" outlineLevel="1">
      <c r="A125" s="3"/>
      <c r="B125" s="9" t="s">
        <v>85</v>
      </c>
      <c r="C125" s="3"/>
      <c r="D125" s="3"/>
    </row>
    <row r="126" hidden="1" outlineLevel="1">
      <c r="A126" s="3"/>
      <c r="B126" s="9" t="s">
        <v>86</v>
      </c>
      <c r="C126" s="3"/>
      <c r="D126" s="3"/>
    </row>
    <row r="127" collapsed="1">
      <c r="A127" s="3" t="s">
        <v>73</v>
      </c>
      <c r="B127" s="59" t="s">
        <v>968</v>
      </c>
      <c r="C127" s="3">
        <v>2.0</v>
      </c>
      <c r="D127" s="3">
        <v>10.0</v>
      </c>
    </row>
    <row r="128" hidden="1" outlineLevel="1">
      <c r="A128" s="3"/>
      <c r="B128" s="9" t="s">
        <v>969</v>
      </c>
      <c r="C128" s="3"/>
      <c r="D128" s="3"/>
    </row>
    <row r="129" hidden="1" outlineLevel="1">
      <c r="A129" s="3"/>
      <c r="B129" s="9" t="s">
        <v>970</v>
      </c>
      <c r="C129" s="3"/>
      <c r="D129" s="3"/>
    </row>
    <row r="130" collapsed="1">
      <c r="A130" s="3" t="s">
        <v>78</v>
      </c>
      <c r="B130" s="3" t="s">
        <v>146</v>
      </c>
      <c r="C130" s="3">
        <v>2.0</v>
      </c>
      <c r="D130" s="3">
        <v>10.0</v>
      </c>
    </row>
    <row r="131" hidden="1" outlineLevel="1">
      <c r="A131" s="3"/>
      <c r="B131" s="9" t="s">
        <v>147</v>
      </c>
      <c r="C131" s="3"/>
      <c r="D131" s="3"/>
    </row>
    <row r="132" hidden="1" outlineLevel="1">
      <c r="A132" s="3"/>
      <c r="B132" s="9" t="s">
        <v>148</v>
      </c>
      <c r="C132" s="3"/>
      <c r="D132" s="3"/>
    </row>
    <row r="133" hidden="1" outlineLevel="1">
      <c r="A133" s="3"/>
      <c r="B133" s="9" t="s">
        <v>149</v>
      </c>
      <c r="C133" s="3"/>
      <c r="D133" s="3"/>
    </row>
    <row r="134" hidden="1" outlineLevel="1">
      <c r="A134" s="3"/>
      <c r="B134" s="9" t="s">
        <v>150</v>
      </c>
      <c r="C134" s="3"/>
      <c r="D134" s="3"/>
    </row>
    <row r="135">
      <c r="A135" s="3" t="s">
        <v>82</v>
      </c>
      <c r="B135" s="13" t="s">
        <v>971</v>
      </c>
      <c r="C135" s="3">
        <v>1.0</v>
      </c>
      <c r="D135" s="3">
        <v>5.0</v>
      </c>
    </row>
    <row r="136">
      <c r="A136" s="3"/>
      <c r="B136" s="3"/>
      <c r="C136" s="3"/>
      <c r="D136" s="3"/>
    </row>
    <row r="137">
      <c r="A137" s="4" t="s">
        <v>170</v>
      </c>
      <c r="B137" s="4"/>
      <c r="C137" s="4">
        <f>C2+C10+C21+C75+C114</f>
        <v>80.0</v>
      </c>
      <c r="D137" s="4">
        <f>D2+D10+D21+D75+D114</f>
        <v>660.0</v>
      </c>
    </row>
  </sheetData>
  <printOptions/>
  <pageMargins left="0.6740767578124998" right="0.6740767578124998" top="0.7222250976562498" bottom="0.7222250976562498" footer="0.2888900390625" header="0.2888900390625"/>
  <pageSetup paperSize="9"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Hancom ThinkFree Weboffice Hcell v1</Application>
  <AppVersion>07.0170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 Cherkasov</dc:creator>
  <dcterms:created xsi:type="dcterms:W3CDTF">2019-08-19T10:31:29Z</dcterms:created>
  <cp:lastModifiedBy>Maxim Samarin</cp:lastModifiedBy>
  <dcterms:modified xsi:type="dcterms:W3CDTF">2020-03-25T00:12:42Z</dcterms:modified>
  <cp:revision>3</cp:revision>
</cp:coreProperties>
</file>